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5e5f432d7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5d27090cbba4ea7"/>
    <x:sheet xmlns:r="http://schemas.openxmlformats.org/officeDocument/2006/relationships" name="Monash Sport - Finance Summary" sheetId="2" r:id="R76c1b3b63aab4701"/>
    <x:sheet xmlns:r="http://schemas.openxmlformats.org/officeDocument/2006/relationships" name="H&amp;F Clayton (Z07601)" sheetId="3" r:id="Rc1f28c0fdb16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-&quot;"/>
    <x:numFmt numFmtId="201" formatCode="General"/>
    <x:numFmt numFmtId="202" formatCode="0"/>
    <x:numFmt numFmtId="203" formatCode="@"/>
  </x:numFmts>
  <x:fonts count="9">
    <x:font>
      <x:sz val="11"/>
      <x:name val="Carlito"/>
    </x:font>
    <x:font>
      <x:sz val="11"/>
      <x:color rgb="FF334155"/>
      <x:name val="Arial"/>
    </x:font>
    <x:font>
      <x:b/>
      <x:sz val="16"/>
      <x:color rgb="FF233D55"/>
      <x:name val="Arial"/>
    </x:font>
    <x:font>
      <x:sz val="11"/>
      <x:color rgb="FF0000FF"/>
      <x:name val="Arial"/>
    </x:font>
    <x:font>
      <x:b/>
      <x:sz val="11"/>
      <x:color rgb="FF334155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sz val="11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DF2F7"/>
      </x:patternFill>
    </x:fill>
    <x:fill>
      <x:patternFill patternType="solid">
        <x:fgColor rgb="FF233D55"/>
      </x:patternFill>
    </x:fill>
    <x:fill>
      <x:patternFill patternType="solid">
        <x:fgColor rgb="FFF8FAF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33D55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horizontal="left" vertical="center"/>
    </x:xf>
    <x:xf numFmtId="201" fontId="3" fillId="2" borderId="0" xfId="0" applyNumberFormat="1" applyFont="1" applyFill="1" applyBorder="1" applyAlignment="1">
      <x:alignment horizontal="left" vertical="center"/>
    </x:xf>
    <x:xf numFmtId="202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0" fontId="7" fillId="5" borderId="2" xfId="0" applyNumberFormat="1" applyFont="1" applyFill="1" applyBorder="1" applyAlignment="1">
      <x:alignment horizontal="right" vertical="center"/>
    </x:xf>
    <x:xf numFmtId="200" fontId="7" fillId="5" borderId="0" xfId="0" applyNumberFormat="1" applyFont="1" applyFill="1" applyBorder="1" applyAlignment="1">
      <x:alignment horizontal="right" vertical="center"/>
    </x:xf>
    <x:xf numFmtId="200" fontId="8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79c92fcde4fbc" /><Relationship Type="http://schemas.openxmlformats.org/officeDocument/2006/relationships/theme" Target="/xl/theme/theme1.xml" Id="R45fdabc81ed042ab" /><Relationship Type="http://schemas.openxmlformats.org/officeDocument/2006/relationships/sharedStrings" Target="/xl/sharedStrings.xml" Id="R71281d09f5eb4fd2" /><Relationship Type="http://schemas.openxmlformats.org/officeDocument/2006/relationships/worksheet" Target="/xl/worksheets/sheet1.xml" Id="R95d27090cbba4ea7" /><Relationship Type="http://schemas.openxmlformats.org/officeDocument/2006/relationships/worksheet" Target="/xl/worksheets/sheet2.xml" Id="R76c1b3b63aab4701" /><Relationship Type="http://schemas.openxmlformats.org/officeDocument/2006/relationships/worksheet" Target="/xl/worksheets/sheet3.xml" Id="Rc1f28c0fdb16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6"/>
      <x:c r="B1" s="7"/>
      <x:c r="C1" s="7"/>
      <x:c r="D1" s="7"/>
      <x:c r="E1" s="7"/>
      <x:c r="F1" s="7"/>
      <x:c r="G1" s="7"/>
      <x:c r="H1" s="7"/>
    </x:row>
    <x:row r="2" ht="23" customHeight="1">
      <x:c r="A2" s="8" t="str">
        <x:v>Monthly Site Report template</x:v>
      </x:c>
      <x:c r="B2" s="7"/>
      <x:c r="C2" s="7"/>
      <x:c r="D2" s="7"/>
      <x:c r="E2" s="7"/>
      <x:c r="F2" s="7"/>
      <x:c r="G2" s="7"/>
      <x:c r="H2" s="7"/>
    </x:row>
    <x:row r="3" ht="23" customHeight="1">
      <x:c r="A3" s="9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7"/>
      <x:c r="C4" s="7"/>
      <x:c r="D4" s="7"/>
      <x:c r="E4" s="7"/>
      <x:c r="F4" s="7"/>
      <x:c r="G4" s="7"/>
      <x:c r="H4" s="7"/>
    </x:row>
    <x:row r="5" ht="23" customHeight="1">
      <x:c r="A5" s="6" t="str">
        <x:v>Reporting year</x:v>
      </x:c>
      <x:c r="B5" s="13" t="n">
        <x:v>2026</x:v>
      </x:c>
      <x:c r="C5" s="7"/>
      <x:c r="D5" s="7"/>
      <x:c r="E5" s="7"/>
      <x:c r="F5" s="7"/>
      <x:c r="G5" s="7"/>
      <x:c r="H5" s="7"/>
    </x:row>
    <x:row r="6" ht="23" customHeight="1">
      <x:c r="A6" s="6"/>
      <x:c r="B6" s="7"/>
      <x:c r="C6" s="7"/>
      <x:c r="D6" s="7"/>
      <x:c r="E6" s="7"/>
      <x:c r="F6" s="7"/>
      <x:c r="G6" s="7"/>
      <x:c r="H6" s="7"/>
    </x:row>
    <x:row r="7" ht="43" customHeight="1">
      <x:c r="A7" s="14" t="str">
        <x:v>Save As</x:v>
      </x:c>
      <x:c r="B7" s="15" t="str">
        <x:v>Monthly Site Report &lt;year&gt;.xlsx</x:v>
      </x:c>
      <x:c r="C7" s="15"/>
      <x:c r="D7" s="15"/>
      <x:c r="E7" s="15"/>
      <x:c r="F7" s="15"/>
      <x:c r="G7" s="15"/>
      <x:c r="H7" s="15"/>
    </x:row>
    <x:row r="8" ht="43" customHeight="1">
      <x:c r="A8" s="14" t="str">
        <x:v>Amber cells</x:v>
      </x:c>
      <x:c r="B8" s="15" t="str">
        <x:v>Enter your reported values or replace an example activity/item label.</x:v>
      </x:c>
      <x:c r="C8" s="15"/>
      <x:c r="D8" s="15"/>
      <x:c r="E8" s="15"/>
      <x:c r="F8" s="15"/>
      <x:c r="G8" s="15"/>
      <x:c r="H8" s="15"/>
    </x:row>
    <x:row r="9" ht="43" customHeight="1">
      <x:c r="A9" s="14" t="str">
        <x:v>Dark / grey headings</x:v>
      </x:c>
      <x:c r="B9" s="15" t="str">
        <x:v>Keep the required titles, month labels and table structure.</x:v>
      </x:c>
      <x:c r="C9" s="15"/>
      <x:c r="D9" s="15"/>
      <x:c r="E9" s="15"/>
      <x:c r="F9" s="15"/>
      <x:c r="G9" s="15"/>
      <x:c r="H9" s="15"/>
    </x:row>
    <x:row r="10" ht="43" customHeight="1">
      <x:c r="A10" s="14" t="str">
        <x:v>Calculated cells</x:v>
      </x:c>
      <x:c r="B10" s="15" t="str">
        <x:v>Keep formulas. After adding rows/columns, extend affected totals and save in Excel.</x:v>
      </x:c>
      <x:c r="C10" s="15"/>
      <x:c r="D10" s="15"/>
      <x:c r="E10" s="15"/>
      <x:c r="F10" s="15"/>
      <x:c r="G10" s="15"/>
      <x:c r="H10" s="15"/>
    </x:row>
    <x:row r="11" ht="43" customHeight="1">
      <x:c r="A11" s="14" t="str">
        <x:v>Blank and zero</x:v>
      </x:c>
      <x:c r="B11" s="15" t="str">
        <x:v>Blank means unreported. Enter 0 only for a confirmed zero. Start with a copy of this blank template.</x:v>
      </x:c>
      <x:c r="C11" s="15"/>
      <x:c r="D11" s="15"/>
      <x:c r="E11" s="15"/>
      <x:c r="F11" s="15"/>
      <x:c r="G11" s="15"/>
      <x:c r="H11" s="15"/>
    </x:row>
    <x:row r="12" ht="43" customHeight="1">
      <x:c r="A12" s="14" t="str">
        <x:v>Required sheets</x:v>
      </x:c>
      <x:c r="B12" s="15" t="str">
        <x:v>Keep Monash Sport - Finance Summary. Copy the example site worksheet for each actual site.</x:v>
      </x:c>
      <x:c r="C12" s="15"/>
      <x:c r="D12" s="15"/>
      <x:c r="E12" s="15"/>
      <x:c r="F12" s="15"/>
      <x:c r="G12" s="15"/>
      <x:c r="H12" s="15"/>
    </x:row>
    <x:row r="13" ht="43" customHeight="1">
      <x:c r="A13" s="14" t="str">
        <x:v>Finance headings</x:v>
      </x:c>
      <x:c r="B13" s="15" t="str">
        <x:v>Keep INCOME, EXPENSES, Budget, Actual, Variance, DISCOUNTS, Total and Total Revenue (actual + opp).</x:v>
      </x:c>
      <x:c r="C13" s="15"/>
      <x:c r="D13" s="15"/>
      <x:c r="E13" s="15"/>
      <x:c r="F13" s="15"/>
      <x:c r="G13" s="15"/>
      <x:c r="H13" s="15"/>
    </x:row>
    <x:row r="14" ht="43" customHeight="1">
      <x:c r="A14" s="14" t="str">
        <x:v>Add a site</x:v>
      </x:c>
      <x:c r="B14" s="15" t="str">
        <x:v>Copy H&amp;F Clayton (Z07601), rename it to the actual site/code and update organisation formulas to include all sites exactly once.</x:v>
      </x:c>
      <x:c r="C14" s="15"/>
      <x:c r="D14" s="15"/>
      <x:c r="E14" s="15"/>
      <x:c r="F14" s="15"/>
      <x:c r="G14" s="15"/>
      <x:c r="H14" s="15"/>
    </x:row>
    <x:row r="15" ht="43" customHeight="1">
      <x:c r="A15" s="14" t="str">
        <x:v>Add a discount</x:v>
      </x:c>
      <x:c r="B15" s="15" t="str">
        <x:v>Insert a labelled amount column in the DISCOUNTS group. Extend the discount total and Total Revenue formulas.</x:v>
      </x:c>
      <x:c r="C15" s="15"/>
      <x:c r="D15" s="15"/>
      <x:c r="E15" s="15"/>
      <x:c r="F15" s="15"/>
      <x:c r="G15" s="15"/>
      <x:c r="H15" s="15"/>
    </x:row>
    <x:row r="16" ht="43" customHeight="1">
      <x:c r="A16" s="14" t="str">
        <x:v>Organisation totals</x:v>
      </x:c>
      <x:c r="B16" s="15" t="str">
        <x:v>The Finance Summary links to one example site. It must represent all uploaded sites, with each site counted once.</x:v>
      </x:c>
      <x:c r="C16" s="15"/>
      <x:c r="D16" s="15"/>
      <x:c r="E16" s="15"/>
      <x:c r="F16" s="15"/>
      <x:c r="G16" s="15"/>
      <x:c r="H16" s="15"/>
    </x:row>
    <x:row r="17" ht="43" customHeight="1">
      <x:c r="A17" s="14" t="str">
        <x:v>Summary group</x:v>
      </x:c>
      <x:c r="B17" s="15" t="str">
        <x:v>Keep the YTD Summary business-unit label in Finance Summary. It identifies the organisation totals.</x:v>
      </x:c>
      <x:c r="C17" s="15"/>
      <x:c r="D17" s="15"/>
      <x:c r="E17" s="15"/>
      <x:c r="F17" s="15"/>
      <x:c r="G17" s="15"/>
      <x:c r="H17" s="15"/>
    </x:row>
    <x:row r="18" ht="43" customHeight="1">
      <x:c r="A18" s="14" t="str">
        <x:v>Before uploading</x:v>
      </x:c>
      <x:c r="B18" s="15" t="str">
        <x:v>Use the matching year in the filename and Reporting year above. Save after Excel recalculates.</x:v>
      </x:c>
      <x:c r="C18" s="15"/>
      <x:c r="D18" s="15"/>
      <x:c r="E18" s="15"/>
      <x:c r="F18" s="15"/>
      <x:c r="G18" s="15"/>
      <x:c r="H18" s="15"/>
    </x:row>
    <x:row r="19" ht="43" customHeight="1">
      <x:c r="A19" s="14" t="str">
        <x:v>New indicators</x:v>
      </x:c>
      <x:c r="B19" s="15" t="str">
        <x:v>New numeric indicators are retained in supported layouts. They do not automatically become chart or forecast targets.</x:v>
      </x:c>
      <x:c r="C19" s="15"/>
      <x:c r="D19" s="15"/>
      <x:c r="E19" s="15"/>
      <x:c r="F19" s="15"/>
      <x:c r="G19" s="15"/>
      <x:c r="H19" s="15"/>
    </x:row>
    <x:row r="20" ht="43" customHeight="1">
      <x:c r="A20" s="14" t="str">
        <x:v>Other layouts</x:v>
      </x:c>
      <x:c r="B20" s="15" t="str">
        <x:v>Keep worksheet names and the documented block layout. A new worksheet or changed layout needs an extraction rule.</x:v>
      </x:c>
      <x:c r="C20" s="15"/>
      <x:c r="D20" s="15"/>
      <x:c r="E20" s="15"/>
      <x:c r="F20" s="15"/>
      <x:c r="G20" s="15"/>
      <x:c r="H20" s="15"/>
    </x:row>
    <x:row r="21" ht="43" customHeight="1">
      <x:c r="A21" s="14" t="str">
        <x:v>Layout source</x:v>
      </x:c>
      <x:c r="B21" s="15" t="str">
        <x:v>Monash Sport report layouts supplied with this project. No original business figures are included.</x:v>
      </x:c>
      <x:c r="C21" s="15"/>
      <x:c r="D21" s="15"/>
      <x:c r="E21" s="15"/>
      <x:c r="F21" s="15"/>
      <x:c r="G21" s="15"/>
      <x:c r="H21" s="15"/>
    </x:row>
    <x:row r="22" ht="23" customHeight="1">
      <x:c r="A22" s="6"/>
      <x:c r="B22" s="7"/>
      <x:c r="C22" s="7"/>
      <x:c r="D22" s="7"/>
      <x:c r="E22" s="7"/>
      <x:c r="F22" s="7"/>
      <x:c r="G22" s="7"/>
      <x:c r="H22" s="7"/>
    </x:row>
    <x:row r="23" ht="23" customHeight="1">
      <x:c r="A23" s="6"/>
      <x:c r="B23" s="7"/>
      <x:c r="C23" s="7"/>
      <x:c r="D23" s="7"/>
      <x:c r="E23" s="7"/>
      <x:c r="F23" s="7"/>
      <x:c r="G23" s="7"/>
      <x:c r="H23" s="7"/>
    </x:row>
    <x:row r="24" ht="23" customHeight="1">
      <x:c r="A24" s="6"/>
      <x:c r="B24" s="7"/>
      <x:c r="C24" s="7"/>
      <x:c r="D24" s="7"/>
      <x:c r="E24" s="7"/>
      <x:c r="F24" s="7"/>
      <x:c r="G24" s="7"/>
      <x:c r="H24" s="7"/>
    </x:row>
    <x:row r="25" ht="23" customHeight="1">
      <x:c r="A25" s="6"/>
      <x:c r="B25" s="7"/>
      <x:c r="C25" s="7"/>
      <x:c r="D25" s="7"/>
      <x:c r="E25" s="7"/>
      <x:c r="F25" s="7"/>
      <x:c r="G25" s="7"/>
      <x:c r="H25" s="7"/>
    </x:row>
    <x:row r="26" ht="23" customHeight="1">
      <x:c r="A26" s="6"/>
      <x:c r="B26" s="7"/>
      <x:c r="C26" s="7"/>
      <x:c r="D26" s="7"/>
      <x:c r="E26" s="7"/>
      <x:c r="F26" s="7"/>
      <x:c r="G26" s="7"/>
      <x:c r="H26" s="7"/>
    </x:row>
    <x:row r="27" ht="23" customHeight="1">
      <x:c r="A27" s="6"/>
      <x:c r="B27" s="7"/>
      <x:c r="C27" s="7"/>
      <x:c r="D27" s="7"/>
      <x:c r="E27" s="7"/>
      <x:c r="F27" s="7"/>
      <x:c r="G27" s="7"/>
      <x:c r="H27" s="7"/>
    </x:row>
    <x:row r="28" ht="23" customHeight="1">
      <x:c r="A28" s="6"/>
      <x:c r="B28" s="7"/>
      <x:c r="C28" s="7"/>
      <x:c r="D28" s="7"/>
      <x:c r="E28" s="7"/>
      <x:c r="F28" s="7"/>
      <x:c r="G28" s="7"/>
      <x:c r="H28" s="7"/>
    </x:row>
    <x:row r="29" ht="23" customHeight="1">
      <x:c r="A29" s="6"/>
      <x:c r="B29" s="7"/>
      <x:c r="C29" s="7"/>
      <x:c r="D29" s="7"/>
      <x:c r="E29" s="7"/>
      <x:c r="F29" s="7"/>
      <x:c r="G29" s="7"/>
      <x:c r="H29" s="7"/>
    </x:row>
    <x:row r="30" ht="23" customHeight="1">
      <x:c r="A30" s="6"/>
      <x:c r="B30" s="7"/>
      <x:c r="C30" s="7"/>
      <x:c r="D30" s="7"/>
      <x:c r="E30" s="7"/>
      <x:c r="F30" s="7"/>
      <x:c r="G30" s="7"/>
      <x:c r="H30" s="7"/>
    </x:row>
    <x:row r="31" ht="23" customHeight="1">
      <x:c r="A31" s="6"/>
      <x:c r="B31" s="7"/>
      <x:c r="C31" s="7"/>
      <x:c r="D31" s="7"/>
      <x:c r="E31" s="7"/>
      <x:c r="F31" s="7"/>
      <x:c r="G31" s="7"/>
      <x:c r="H31" s="7"/>
    </x:row>
    <x:row r="32" ht="23" customHeight="1">
      <x:c r="A32" s="6"/>
      <x:c r="B32" s="7"/>
      <x:c r="C32" s="7"/>
      <x:c r="D32" s="7"/>
      <x:c r="E32" s="7"/>
      <x:c r="F32" s="7"/>
      <x:c r="G32" s="7"/>
      <x:c r="H32" s="7"/>
    </x:row>
  </x:sheetData>
  <x:mergeCells>
    <x:mergeCell ref="A2:H2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</x:mergeCells>
  <x:dataValidations count="1">
    <x:dataValidation type="whole" operator="between" sqref="B5">
      <x:formula1>1900</x:formula1>
      <x:formula2>2099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3" customHeight="1">
      <x:c r="A1" s="16" t="str">
        <x:v>Business unit</x:v>
      </x:c>
      <x:c r="B1" s="17" t="str">
        <x:v>YTD Summary</x:v>
      </x:c>
      <x:c r="C1" s="17"/>
      <x:c r="D1" s="17"/>
    </x:row>
    <x:row r="2" ht="34" customHeight="1">
      <x:c r="A2" s="27" t="str">
        <x:v>INCOME</x:v>
      </x:c>
      <x:c r="B2" s="28" t="str">
        <x:v>Budget</x:v>
      </x:c>
      <x:c r="C2" s="28" t="str">
        <x:v>Actual</x:v>
      </x:c>
      <x:c r="D2" s="28" t="str">
        <x:v>Variance</x:v>
      </x:c>
    </x:row>
    <x:row r="3" ht="23" customHeight="1">
      <x:c r="A3" s="16" t="str">
        <x:v>Jan</x:v>
      </x:c>
      <x:c r="B3" s="38" t="str">
        <x:f>IF(ISNUMBER('H&amp;F Clayton (Z07601)'!B3),'H&amp;F Clayton (Z07601)'!B3,"")</x:f>
      </x:c>
      <x:c r="C3" s="38" t="str">
        <x:f>IF(ISNUMBER('H&amp;F Clayton (Z07601)'!C3),'H&amp;F Clayton (Z07601)'!C3,"")</x:f>
      </x:c>
      <x:c r="D3" s="30" t="str">
        <x:f>IF(COUNT(C3,B3)=2,C3-B3,"")</x:f>
      </x:c>
    </x:row>
    <x:row r="4" ht="23" customHeight="1">
      <x:c r="A4" s="16" t="str">
        <x:v>Feb</x:v>
      </x:c>
      <x:c r="B4" s="38" t="str">
        <x:f>IF(ISNUMBER('H&amp;F Clayton (Z07601)'!B4),'H&amp;F Clayton (Z07601)'!B4,"")</x:f>
      </x:c>
      <x:c r="C4" s="38" t="str">
        <x:f>IF(ISNUMBER('H&amp;F Clayton (Z07601)'!C4),'H&amp;F Clayton (Z07601)'!C4,"")</x:f>
      </x:c>
      <x:c r="D4" s="30" t="str">
        <x:f>IF(COUNT(C4,B4)=2,C4-B4,"")</x:f>
      </x:c>
    </x:row>
    <x:row r="5" ht="23" customHeight="1">
      <x:c r="A5" s="16" t="str">
        <x:v>Mar</x:v>
      </x:c>
      <x:c r="B5" s="38" t="str">
        <x:f>IF(ISNUMBER('H&amp;F Clayton (Z07601)'!B5),'H&amp;F Clayton (Z07601)'!B5,"")</x:f>
      </x:c>
      <x:c r="C5" s="38" t="str">
        <x:f>IF(ISNUMBER('H&amp;F Clayton (Z07601)'!C5),'H&amp;F Clayton (Z07601)'!C5,"")</x:f>
      </x:c>
      <x:c r="D5" s="30" t="str">
        <x:f>IF(COUNT(C5,B5)=2,C5-B5,"")</x:f>
      </x:c>
    </x:row>
    <x:row r="6" ht="23" customHeight="1">
      <x:c r="A6" s="16" t="str">
        <x:v>Apr</x:v>
      </x:c>
      <x:c r="B6" s="38" t="str">
        <x:f>IF(ISNUMBER('H&amp;F Clayton (Z07601)'!B6),'H&amp;F Clayton (Z07601)'!B6,"")</x:f>
      </x:c>
      <x:c r="C6" s="38" t="str">
        <x:f>IF(ISNUMBER('H&amp;F Clayton (Z07601)'!C6),'H&amp;F Clayton (Z07601)'!C6,"")</x:f>
      </x:c>
      <x:c r="D6" s="30" t="str">
        <x:f>IF(COUNT(C6,B6)=2,C6-B6,"")</x:f>
      </x:c>
    </x:row>
    <x:row r="7" ht="23" customHeight="1">
      <x:c r="A7" s="16" t="str">
        <x:v>May</x:v>
      </x:c>
      <x:c r="B7" s="38" t="str">
        <x:f>IF(ISNUMBER('H&amp;F Clayton (Z07601)'!B7),'H&amp;F Clayton (Z07601)'!B7,"")</x:f>
      </x:c>
      <x:c r="C7" s="38" t="str">
        <x:f>IF(ISNUMBER('H&amp;F Clayton (Z07601)'!C7),'H&amp;F Clayton (Z07601)'!C7,"")</x:f>
      </x:c>
      <x:c r="D7" s="30" t="str">
        <x:f>IF(COUNT(C7,B7)=2,C7-B7,"")</x:f>
      </x:c>
    </x:row>
    <x:row r="8" ht="23" customHeight="1">
      <x:c r="A8" s="16" t="str">
        <x:v>Jun</x:v>
      </x:c>
      <x:c r="B8" s="38" t="str">
        <x:f>IF(ISNUMBER('H&amp;F Clayton (Z07601)'!B8),'H&amp;F Clayton (Z07601)'!B8,"")</x:f>
      </x:c>
      <x:c r="C8" s="38" t="str">
        <x:f>IF(ISNUMBER('H&amp;F Clayton (Z07601)'!C8),'H&amp;F Clayton (Z07601)'!C8,"")</x:f>
      </x:c>
      <x:c r="D8" s="30" t="str">
        <x:f>IF(COUNT(C8,B8)=2,C8-B8,"")</x:f>
      </x:c>
    </x:row>
    <x:row r="9" ht="23" customHeight="1">
      <x:c r="A9" s="16" t="str">
        <x:v>Jul</x:v>
      </x:c>
      <x:c r="B9" s="38" t="str">
        <x:f>IF(ISNUMBER('H&amp;F Clayton (Z07601)'!B9),'H&amp;F Clayton (Z07601)'!B9,"")</x:f>
      </x:c>
      <x:c r="C9" s="38" t="str">
        <x:f>IF(ISNUMBER('H&amp;F Clayton (Z07601)'!C9),'H&amp;F Clayton (Z07601)'!C9,"")</x:f>
      </x:c>
      <x:c r="D9" s="30" t="str">
        <x:f>IF(COUNT(C9,B9)=2,C9-B9,"")</x:f>
      </x:c>
    </x:row>
    <x:row r="10" ht="23" customHeight="1">
      <x:c r="A10" s="16" t="str">
        <x:v>Aug</x:v>
      </x:c>
      <x:c r="B10" s="38" t="str">
        <x:f>IF(ISNUMBER('H&amp;F Clayton (Z07601)'!B10),'H&amp;F Clayton (Z07601)'!B10,"")</x:f>
      </x:c>
      <x:c r="C10" s="38" t="str">
        <x:f>IF(ISNUMBER('H&amp;F Clayton (Z07601)'!C10),'H&amp;F Clayton (Z07601)'!C10,"")</x:f>
      </x:c>
      <x:c r="D10" s="30" t="str">
        <x:f>IF(COUNT(C10,B10)=2,C10-B10,"")</x:f>
      </x:c>
    </x:row>
    <x:row r="11" ht="23" customHeight="1">
      <x:c r="A11" s="16" t="str">
        <x:v>Sep</x:v>
      </x:c>
      <x:c r="B11" s="38" t="str">
        <x:f>IF(ISNUMBER('H&amp;F Clayton (Z07601)'!B11),'H&amp;F Clayton (Z07601)'!B11,"")</x:f>
      </x:c>
      <x:c r="C11" s="38" t="str">
        <x:f>IF(ISNUMBER('H&amp;F Clayton (Z07601)'!C11),'H&amp;F Clayton (Z07601)'!C11,"")</x:f>
      </x:c>
      <x:c r="D11" s="30" t="str">
        <x:f>IF(COUNT(C11,B11)=2,C11-B11,"")</x:f>
      </x:c>
    </x:row>
    <x:row r="12" ht="23" customHeight="1">
      <x:c r="A12" s="16" t="str">
        <x:v>Oct</x:v>
      </x:c>
      <x:c r="B12" s="38" t="str">
        <x:f>IF(ISNUMBER('H&amp;F Clayton (Z07601)'!B12),'H&amp;F Clayton (Z07601)'!B12,"")</x:f>
      </x:c>
      <x:c r="C12" s="38" t="str">
        <x:f>IF(ISNUMBER('H&amp;F Clayton (Z07601)'!C12),'H&amp;F Clayton (Z07601)'!C12,"")</x:f>
      </x:c>
      <x:c r="D12" s="30" t="str">
        <x:f>IF(COUNT(C12,B12)=2,C12-B12,"")</x:f>
      </x:c>
    </x:row>
    <x:row r="13" ht="23" customHeight="1">
      <x:c r="A13" s="16" t="str">
        <x:v>Nov</x:v>
      </x:c>
      <x:c r="B13" s="38" t="str">
        <x:f>IF(ISNUMBER('H&amp;F Clayton (Z07601)'!B13),'H&amp;F Clayton (Z07601)'!B13,"")</x:f>
      </x:c>
      <x:c r="C13" s="38" t="str">
        <x:f>IF(ISNUMBER('H&amp;F Clayton (Z07601)'!C13),'H&amp;F Clayton (Z07601)'!C13,"")</x:f>
      </x:c>
      <x:c r="D13" s="30" t="str">
        <x:f>IF(COUNT(C13,B13)=2,C13-B13,"")</x:f>
      </x:c>
    </x:row>
    <x:row r="14" ht="23" customHeight="1">
      <x:c r="A14" s="16" t="str">
        <x:v>Dec</x:v>
      </x:c>
      <x:c r="B14" s="38" t="str">
        <x:f>IF(ISNUMBER('H&amp;F Clayton (Z07601)'!B14),'H&amp;F Clayton (Z07601)'!B14,"")</x:f>
      </x:c>
      <x:c r="C14" s="38" t="str">
        <x:f>IF(ISNUMBER('H&amp;F Clayton (Z07601)'!C14),'H&amp;F Clayton (Z07601)'!C14,"")</x:f>
      </x:c>
      <x:c r="D14" s="30" t="str">
        <x:f>IF(COUNT(C14,B14)=2,C14-B14,"")</x:f>
      </x:c>
    </x:row>
    <x:row r="15" ht="23" customHeight="1">
      <x:c r="A15" s="33" t="str">
        <x:v>Total</x:v>
      </x:c>
      <x:c r="B15" s="36" t="str">
        <x:f>IF(COUNT(B3:B14)=0,"",SUM(B3:B14))</x:f>
      </x:c>
      <x:c r="C15" s="36" t="str">
        <x:f>IF(COUNT(C3:C14)=0,"",SUM(C3:C14))</x:f>
      </x:c>
      <x:c r="D15" s="36" t="str">
        <x:f>IF(COUNT(C15,B15)=2,C15-B15,"")</x:f>
      </x:c>
    </x:row>
    <x:row r="16" ht="23" customHeight="1">
      <x:c r="A16" s="2"/>
      <x:c r="B16" s="4"/>
      <x:c r="C16" s="4"/>
      <x:c r="D16" s="4"/>
    </x:row>
    <x:row r="17" ht="34" customHeight="1">
      <x:c r="A17" s="27" t="str">
        <x:v>EXPENSES</x:v>
      </x:c>
      <x:c r="B17" s="28" t="str">
        <x:v>Budget</x:v>
      </x:c>
      <x:c r="C17" s="28" t="str">
        <x:v>Actual</x:v>
      </x:c>
      <x:c r="D17" s="28" t="str">
        <x:v>Variance</x:v>
      </x:c>
    </x:row>
    <x:row r="18" ht="23" customHeight="1">
      <x:c r="A18" s="16" t="str">
        <x:v>Jan</x:v>
      </x:c>
      <x:c r="B18" s="38" t="str">
        <x:f>IF(ISNUMBER('H&amp;F Clayton (Z07601)'!B18),'H&amp;F Clayton (Z07601)'!B18,"")</x:f>
      </x:c>
      <x:c r="C18" s="38" t="str">
        <x:f>IF(ISNUMBER('H&amp;F Clayton (Z07601)'!C18),'H&amp;F Clayton (Z07601)'!C18,"")</x:f>
      </x:c>
      <x:c r="D18" s="30" t="str">
        <x:f>IF(COUNT(C18,B18)=2,C18-B18,"")</x:f>
      </x:c>
    </x:row>
    <x:row r="19" ht="23" customHeight="1">
      <x:c r="A19" s="16" t="str">
        <x:v>Feb</x:v>
      </x:c>
      <x:c r="B19" s="38" t="str">
        <x:f>IF(ISNUMBER('H&amp;F Clayton (Z07601)'!B19),'H&amp;F Clayton (Z07601)'!B19,"")</x:f>
      </x:c>
      <x:c r="C19" s="38" t="str">
        <x:f>IF(ISNUMBER('H&amp;F Clayton (Z07601)'!C19),'H&amp;F Clayton (Z07601)'!C19,"")</x:f>
      </x:c>
      <x:c r="D19" s="30" t="str">
        <x:f>IF(COUNT(C19,B19)=2,C19-B19,"")</x:f>
      </x:c>
    </x:row>
    <x:row r="20" ht="23" customHeight="1">
      <x:c r="A20" s="16" t="str">
        <x:v>Mar</x:v>
      </x:c>
      <x:c r="B20" s="38" t="str">
        <x:f>IF(ISNUMBER('H&amp;F Clayton (Z07601)'!B20),'H&amp;F Clayton (Z07601)'!B20,"")</x:f>
      </x:c>
      <x:c r="C20" s="38" t="str">
        <x:f>IF(ISNUMBER('H&amp;F Clayton (Z07601)'!C20),'H&amp;F Clayton (Z07601)'!C20,"")</x:f>
      </x:c>
      <x:c r="D20" s="30" t="str">
        <x:f>IF(COUNT(C20,B20)=2,C20-B20,"")</x:f>
      </x:c>
    </x:row>
    <x:row r="21" ht="23" customHeight="1">
      <x:c r="A21" s="16" t="str">
        <x:v>Apr</x:v>
      </x:c>
      <x:c r="B21" s="38" t="str">
        <x:f>IF(ISNUMBER('H&amp;F Clayton (Z07601)'!B21),'H&amp;F Clayton (Z07601)'!B21,"")</x:f>
      </x:c>
      <x:c r="C21" s="38" t="str">
        <x:f>IF(ISNUMBER('H&amp;F Clayton (Z07601)'!C21),'H&amp;F Clayton (Z07601)'!C21,"")</x:f>
      </x:c>
      <x:c r="D21" s="30" t="str">
        <x:f>IF(COUNT(C21,B21)=2,C21-B21,"")</x:f>
      </x:c>
    </x:row>
    <x:row r="22" ht="23" customHeight="1">
      <x:c r="A22" s="16" t="str">
        <x:v>May</x:v>
      </x:c>
      <x:c r="B22" s="38" t="str">
        <x:f>IF(ISNUMBER('H&amp;F Clayton (Z07601)'!B22),'H&amp;F Clayton (Z07601)'!B22,"")</x:f>
      </x:c>
      <x:c r="C22" s="38" t="str">
        <x:f>IF(ISNUMBER('H&amp;F Clayton (Z07601)'!C22),'H&amp;F Clayton (Z07601)'!C22,"")</x:f>
      </x:c>
      <x:c r="D22" s="30" t="str">
        <x:f>IF(COUNT(C22,B22)=2,C22-B22,"")</x:f>
      </x:c>
    </x:row>
    <x:row r="23" ht="23" customHeight="1">
      <x:c r="A23" s="16" t="str">
        <x:v>Jun</x:v>
      </x:c>
      <x:c r="B23" s="38" t="str">
        <x:f>IF(ISNUMBER('H&amp;F Clayton (Z07601)'!B23),'H&amp;F Clayton (Z07601)'!B23,"")</x:f>
      </x:c>
      <x:c r="C23" s="38" t="str">
        <x:f>IF(ISNUMBER('H&amp;F Clayton (Z07601)'!C23),'H&amp;F Clayton (Z07601)'!C23,"")</x:f>
      </x:c>
      <x:c r="D23" s="30" t="str">
        <x:f>IF(COUNT(C23,B23)=2,C23-B23,"")</x:f>
      </x:c>
    </x:row>
    <x:row r="24" ht="23" customHeight="1">
      <x:c r="A24" s="16" t="str">
        <x:v>Jul</x:v>
      </x:c>
      <x:c r="B24" s="38" t="str">
        <x:f>IF(ISNUMBER('H&amp;F Clayton (Z07601)'!B24),'H&amp;F Clayton (Z07601)'!B24,"")</x:f>
      </x:c>
      <x:c r="C24" s="38" t="str">
        <x:f>IF(ISNUMBER('H&amp;F Clayton (Z07601)'!C24),'H&amp;F Clayton (Z07601)'!C24,"")</x:f>
      </x:c>
      <x:c r="D24" s="30" t="str">
        <x:f>IF(COUNT(C24,B24)=2,C24-B24,"")</x:f>
      </x:c>
    </x:row>
    <x:row r="25" ht="23" customHeight="1">
      <x:c r="A25" s="16" t="str">
        <x:v>Aug</x:v>
      </x:c>
      <x:c r="B25" s="38" t="str">
        <x:f>IF(ISNUMBER('H&amp;F Clayton (Z07601)'!B25),'H&amp;F Clayton (Z07601)'!B25,"")</x:f>
      </x:c>
      <x:c r="C25" s="38" t="str">
        <x:f>IF(ISNUMBER('H&amp;F Clayton (Z07601)'!C25),'H&amp;F Clayton (Z07601)'!C25,"")</x:f>
      </x:c>
      <x:c r="D25" s="30" t="str">
        <x:f>IF(COUNT(C25,B25)=2,C25-B25,"")</x:f>
      </x:c>
    </x:row>
    <x:row r="26" ht="23" customHeight="1">
      <x:c r="A26" s="16" t="str">
        <x:v>Sep</x:v>
      </x:c>
      <x:c r="B26" s="38" t="str">
        <x:f>IF(ISNUMBER('H&amp;F Clayton (Z07601)'!B26),'H&amp;F Clayton (Z07601)'!B26,"")</x:f>
      </x:c>
      <x:c r="C26" s="38" t="str">
        <x:f>IF(ISNUMBER('H&amp;F Clayton (Z07601)'!C26),'H&amp;F Clayton (Z07601)'!C26,"")</x:f>
      </x:c>
      <x:c r="D26" s="30" t="str">
        <x:f>IF(COUNT(C26,B26)=2,C26-B26,"")</x:f>
      </x:c>
    </x:row>
    <x:row r="27" ht="23" customHeight="1">
      <x:c r="A27" s="16" t="str">
        <x:v>Oct</x:v>
      </x:c>
      <x:c r="B27" s="38" t="str">
        <x:f>IF(ISNUMBER('H&amp;F Clayton (Z07601)'!B27),'H&amp;F Clayton (Z07601)'!B27,"")</x:f>
      </x:c>
      <x:c r="C27" s="38" t="str">
        <x:f>IF(ISNUMBER('H&amp;F Clayton (Z07601)'!C27),'H&amp;F Clayton (Z07601)'!C27,"")</x:f>
      </x:c>
      <x:c r="D27" s="30" t="str">
        <x:f>IF(COUNT(C27,B27)=2,C27-B27,"")</x:f>
      </x:c>
    </x:row>
    <x:row r="28" ht="23" customHeight="1">
      <x:c r="A28" s="16" t="str">
        <x:v>Nov</x:v>
      </x:c>
      <x:c r="B28" s="38" t="str">
        <x:f>IF(ISNUMBER('H&amp;F Clayton (Z07601)'!B28),'H&amp;F Clayton (Z07601)'!B28,"")</x:f>
      </x:c>
      <x:c r="C28" s="38" t="str">
        <x:f>IF(ISNUMBER('H&amp;F Clayton (Z07601)'!C28),'H&amp;F Clayton (Z07601)'!C28,"")</x:f>
      </x:c>
      <x:c r="D28" s="30" t="str">
        <x:f>IF(COUNT(C28,B28)=2,C28-B28,"")</x:f>
      </x:c>
    </x:row>
    <x:row r="29" ht="23" customHeight="1">
      <x:c r="A29" s="16" t="str">
        <x:v>Dec</x:v>
      </x:c>
      <x:c r="B29" s="38" t="str">
        <x:f>IF(ISNUMBER('H&amp;F Clayton (Z07601)'!B29),'H&amp;F Clayton (Z07601)'!B29,"")</x:f>
      </x:c>
      <x:c r="C29" s="38" t="str">
        <x:f>IF(ISNUMBER('H&amp;F Clayton (Z07601)'!C29),'H&amp;F Clayton (Z07601)'!C29,"")</x:f>
      </x:c>
      <x:c r="D29" s="30" t="str">
        <x:f>IF(COUNT(C29,B29)=2,C29-B29,"")</x:f>
      </x:c>
    </x:row>
    <x:row r="30" ht="23" customHeight="1">
      <x:c r="A30" s="33" t="str">
        <x:v>Total</x:v>
      </x:c>
      <x:c r="B30" s="36" t="str">
        <x:f>IF(COUNT(B18:B29)=0,"",SUM(B18:B29))</x:f>
      </x:c>
      <x:c r="C30" s="36" t="str">
        <x:f>IF(COUNT(C18:C29)=0,"",SUM(C18:C29))</x:f>
      </x:c>
      <x:c r="D30" s="36" t="str">
        <x:f>IF(COUNT(C30,B30)=2,C30-B30,"")</x:f>
      </x:c>
    </x:row>
    <x:row r="31" ht="23" customHeight="1">
      <x:c r="A31" s="2"/>
      <x:c r="B31" s="4"/>
      <x:c r="C31" s="4"/>
      <x:c r="D31" s="4"/>
    </x:row>
    <x:row r="32" ht="34" customHeight="1">
      <x:c r="A32" s="27" t="str">
        <x:v>DISCOUNTS</x:v>
      </x:c>
      <x:c r="B32" s="28" t="str">
        <x:v>Students</x:v>
      </x:c>
      <x:c r="C32" s="28" t="str">
        <x:v>Staff</x:v>
      </x:c>
      <x:c r="D32" s="28" t="str">
        <x:v>Other</x:v>
      </x:c>
    </x:row>
    <x:row r="33" ht="23" customHeight="1">
      <x:c r="A33" s="16" t="str">
        <x:v>Jan</x:v>
      </x:c>
      <x:c r="B33" s="38" t="str">
        <x:f>IF(ISNUMBER('H&amp;F Clayton (Z07601)'!B33),'H&amp;F Clayton (Z07601)'!B33,"")</x:f>
      </x:c>
      <x:c r="C33" s="38" t="str">
        <x:f>IF(ISNUMBER('H&amp;F Clayton (Z07601)'!C33),'H&amp;F Clayton (Z07601)'!C33,"")</x:f>
      </x:c>
      <x:c r="D33" s="38" t="str">
        <x:f>IF(ISNUMBER('H&amp;F Clayton (Z07601)'!D33),'H&amp;F Clayton (Z07601)'!D33,"")</x:f>
      </x:c>
    </x:row>
    <x:row r="34" ht="23" customHeight="1">
      <x:c r="A34" s="16" t="str">
        <x:v>Feb</x:v>
      </x:c>
      <x:c r="B34" s="38" t="str">
        <x:f>IF(ISNUMBER('H&amp;F Clayton (Z07601)'!B34),'H&amp;F Clayton (Z07601)'!B34,"")</x:f>
      </x:c>
      <x:c r="C34" s="38" t="str">
        <x:f>IF(ISNUMBER('H&amp;F Clayton (Z07601)'!C34),'H&amp;F Clayton (Z07601)'!C34,"")</x:f>
      </x:c>
      <x:c r="D34" s="38" t="str">
        <x:f>IF(ISNUMBER('H&amp;F Clayton (Z07601)'!D34),'H&amp;F Clayton (Z07601)'!D34,"")</x:f>
      </x:c>
    </x:row>
    <x:row r="35" ht="23" customHeight="1">
      <x:c r="A35" s="16" t="str">
        <x:v>Mar</x:v>
      </x:c>
      <x:c r="B35" s="38" t="str">
        <x:f>IF(ISNUMBER('H&amp;F Clayton (Z07601)'!B35),'H&amp;F Clayton (Z07601)'!B35,"")</x:f>
      </x:c>
      <x:c r="C35" s="38" t="str">
        <x:f>IF(ISNUMBER('H&amp;F Clayton (Z07601)'!C35),'H&amp;F Clayton (Z07601)'!C35,"")</x:f>
      </x:c>
      <x:c r="D35" s="38" t="str">
        <x:f>IF(ISNUMBER('H&amp;F Clayton (Z07601)'!D35),'H&amp;F Clayton (Z07601)'!D35,"")</x:f>
      </x:c>
    </x:row>
    <x:row r="36" ht="23" customHeight="1">
      <x:c r="A36" s="16" t="str">
        <x:v>Apr</x:v>
      </x:c>
      <x:c r="B36" s="38" t="str">
        <x:f>IF(ISNUMBER('H&amp;F Clayton (Z07601)'!B36),'H&amp;F Clayton (Z07601)'!B36,"")</x:f>
      </x:c>
      <x:c r="C36" s="38" t="str">
        <x:f>IF(ISNUMBER('H&amp;F Clayton (Z07601)'!C36),'H&amp;F Clayton (Z07601)'!C36,"")</x:f>
      </x:c>
      <x:c r="D36" s="38" t="str">
        <x:f>IF(ISNUMBER('H&amp;F Clayton (Z07601)'!D36),'H&amp;F Clayton (Z07601)'!D36,"")</x:f>
      </x:c>
    </x:row>
    <x:row r="37" ht="23" customHeight="1">
      <x:c r="A37" s="16" t="str">
        <x:v>May</x:v>
      </x:c>
      <x:c r="B37" s="38" t="str">
        <x:f>IF(ISNUMBER('H&amp;F Clayton (Z07601)'!B37),'H&amp;F Clayton (Z07601)'!B37,"")</x:f>
      </x:c>
      <x:c r="C37" s="38" t="str">
        <x:f>IF(ISNUMBER('H&amp;F Clayton (Z07601)'!C37),'H&amp;F Clayton (Z07601)'!C37,"")</x:f>
      </x:c>
      <x:c r="D37" s="38" t="str">
        <x:f>IF(ISNUMBER('H&amp;F Clayton (Z07601)'!D37),'H&amp;F Clayton (Z07601)'!D37,"")</x:f>
      </x:c>
    </x:row>
    <x:row r="38" ht="23" customHeight="1">
      <x:c r="A38" s="16" t="str">
        <x:v>Jun</x:v>
      </x:c>
      <x:c r="B38" s="38" t="str">
        <x:f>IF(ISNUMBER('H&amp;F Clayton (Z07601)'!B38),'H&amp;F Clayton (Z07601)'!B38,"")</x:f>
      </x:c>
      <x:c r="C38" s="38" t="str">
        <x:f>IF(ISNUMBER('H&amp;F Clayton (Z07601)'!C38),'H&amp;F Clayton (Z07601)'!C38,"")</x:f>
      </x:c>
      <x:c r="D38" s="38" t="str">
        <x:f>IF(ISNUMBER('H&amp;F Clayton (Z07601)'!D38),'H&amp;F Clayton (Z07601)'!D38,"")</x:f>
      </x:c>
    </x:row>
    <x:row r="39" ht="23" customHeight="1">
      <x:c r="A39" s="16" t="str">
        <x:v>Jul</x:v>
      </x:c>
      <x:c r="B39" s="38" t="str">
        <x:f>IF(ISNUMBER('H&amp;F Clayton (Z07601)'!B39),'H&amp;F Clayton (Z07601)'!B39,"")</x:f>
      </x:c>
      <x:c r="C39" s="38" t="str">
        <x:f>IF(ISNUMBER('H&amp;F Clayton (Z07601)'!C39),'H&amp;F Clayton (Z07601)'!C39,"")</x:f>
      </x:c>
      <x:c r="D39" s="38" t="str">
        <x:f>IF(ISNUMBER('H&amp;F Clayton (Z07601)'!D39),'H&amp;F Clayton (Z07601)'!D39,"")</x:f>
      </x:c>
    </x:row>
    <x:row r="40" ht="23" customHeight="1">
      <x:c r="A40" s="16" t="str">
        <x:v>Aug</x:v>
      </x:c>
      <x:c r="B40" s="38" t="str">
        <x:f>IF(ISNUMBER('H&amp;F Clayton (Z07601)'!B40),'H&amp;F Clayton (Z07601)'!B40,"")</x:f>
      </x:c>
      <x:c r="C40" s="38" t="str">
        <x:f>IF(ISNUMBER('H&amp;F Clayton (Z07601)'!C40),'H&amp;F Clayton (Z07601)'!C40,"")</x:f>
      </x:c>
      <x:c r="D40" s="38" t="str">
        <x:f>IF(ISNUMBER('H&amp;F Clayton (Z07601)'!D40),'H&amp;F Clayton (Z07601)'!D40,"")</x:f>
      </x:c>
    </x:row>
    <x:row r="41" ht="23" customHeight="1">
      <x:c r="A41" s="16" t="str">
        <x:v>Sep</x:v>
      </x:c>
      <x:c r="B41" s="38" t="str">
        <x:f>IF(ISNUMBER('H&amp;F Clayton (Z07601)'!B41),'H&amp;F Clayton (Z07601)'!B41,"")</x:f>
      </x:c>
      <x:c r="C41" s="38" t="str">
        <x:f>IF(ISNUMBER('H&amp;F Clayton (Z07601)'!C41),'H&amp;F Clayton (Z07601)'!C41,"")</x:f>
      </x:c>
      <x:c r="D41" s="38" t="str">
        <x:f>IF(ISNUMBER('H&amp;F Clayton (Z07601)'!D41),'H&amp;F Clayton (Z07601)'!D41,"")</x:f>
      </x:c>
    </x:row>
    <x:row r="42" ht="23" customHeight="1">
      <x:c r="A42" s="16" t="str">
        <x:v>Oct</x:v>
      </x:c>
      <x:c r="B42" s="38" t="str">
        <x:f>IF(ISNUMBER('H&amp;F Clayton (Z07601)'!B42),'H&amp;F Clayton (Z07601)'!B42,"")</x:f>
      </x:c>
      <x:c r="C42" s="38" t="str">
        <x:f>IF(ISNUMBER('H&amp;F Clayton (Z07601)'!C42),'H&amp;F Clayton (Z07601)'!C42,"")</x:f>
      </x:c>
      <x:c r="D42" s="38" t="str">
        <x:f>IF(ISNUMBER('H&amp;F Clayton (Z07601)'!D42),'H&amp;F Clayton (Z07601)'!D42,"")</x:f>
      </x:c>
    </x:row>
    <x:row r="43" ht="23" customHeight="1">
      <x:c r="A43" s="16" t="str">
        <x:v>Nov</x:v>
      </x:c>
      <x:c r="B43" s="38" t="str">
        <x:f>IF(ISNUMBER('H&amp;F Clayton (Z07601)'!B43),'H&amp;F Clayton (Z07601)'!B43,"")</x:f>
      </x:c>
      <x:c r="C43" s="38" t="str">
        <x:f>IF(ISNUMBER('H&amp;F Clayton (Z07601)'!C43),'H&amp;F Clayton (Z07601)'!C43,"")</x:f>
      </x:c>
      <x:c r="D43" s="38" t="str">
        <x:f>IF(ISNUMBER('H&amp;F Clayton (Z07601)'!D43),'H&amp;F Clayton (Z07601)'!D43,"")</x:f>
      </x:c>
    </x:row>
    <x:row r="44" ht="23" customHeight="1">
      <x:c r="A44" s="16" t="str">
        <x:v>Dec</x:v>
      </x:c>
      <x:c r="B44" s="38" t="str">
        <x:f>IF(ISNUMBER('H&amp;F Clayton (Z07601)'!B44),'H&amp;F Clayton (Z07601)'!B44,"")</x:f>
      </x:c>
      <x:c r="C44" s="38" t="str">
        <x:f>IF(ISNUMBER('H&amp;F Clayton (Z07601)'!C44),'H&amp;F Clayton (Z07601)'!C44,"")</x:f>
      </x:c>
      <x:c r="D44" s="38" t="str">
        <x:f>IF(ISNUMBER('H&amp;F Clayton (Z07601)'!D44),'H&amp;F Clayton (Z07601)'!D44,"")</x:f>
      </x:c>
    </x:row>
    <x:row r="45" ht="23" customHeight="1">
      <x:c r="A45" s="33" t="str">
        <x:v>Total</x:v>
      </x:c>
      <x:c r="B45" s="36" t="str">
        <x:f>IF(COUNT(B33:B44)=0,"",SUM(B33:B44))</x:f>
      </x:c>
      <x:c r="C45" s="36" t="str">
        <x:f>IF(COUNT(C33:C44)=0,"",SUM(C33:C44))</x:f>
      </x:c>
      <x:c r="D45" s="36" t="str">
        <x:f>IF(COUNT(D33:D44)=0,"",SUM(D33:D44))</x:f>
      </x:c>
    </x:row>
    <x:row r="46" ht="23" customHeight="1">
      <x:c r="A46" s="2"/>
      <x:c r="B46" s="4"/>
      <x:c r="C46" s="4"/>
      <x:c r="D46" s="4"/>
    </x:row>
    <x:row r="47" ht="23" customHeight="1">
      <x:c r="A47" s="33" t="str">
        <x:v>Total Revenue (actual + opp)</x:v>
      </x:c>
      <x:c r="B47" s="36" t="str">
        <x:f>IF(AND(ISNUMBER(C15),COUNT(B45:D45)&gt;0),C15+SUM(B45:D45),"")</x:f>
      </x:c>
      <x:c r="C47" s="34"/>
      <x:c r="D47" s="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3" customHeight="1">
      <x:c r="A1" s="16" t="str">
        <x:v>Business unit</x:v>
      </x:c>
      <x:c r="B1" s="20" t="str">
        <x:v>H&amp;F Clayton</x:v>
      </x:c>
      <x:c r="C1" s="17"/>
      <x:c r="D1" s="17"/>
    </x:row>
    <x:row r="2" ht="34" customHeight="1">
      <x:c r="A2" s="27" t="str">
        <x:v>INCOME</x:v>
      </x:c>
      <x:c r="B2" s="28" t="str">
        <x:v>Budget</x:v>
      </x:c>
      <x:c r="C2" s="28" t="str">
        <x:v>Actual</x:v>
      </x:c>
      <x:c r="D2" s="28" t="str">
        <x:v>Variance</x:v>
      </x:c>
    </x:row>
    <x:row r="3" ht="23" customHeight="1">
      <x:c r="A3" s="16" t="str">
        <x:v>Jan</x:v>
      </x:c>
      <x:c r="B3" s="19"/>
      <x:c r="C3" s="19"/>
      <x:c r="D3" s="30" t="str">
        <x:f>IF(COUNT(C3,B3)=2,C3-B3,"")</x:f>
      </x:c>
    </x:row>
    <x:row r="4" ht="23" customHeight="1">
      <x:c r="A4" s="16" t="str">
        <x:v>Feb</x:v>
      </x:c>
      <x:c r="B4" s="19"/>
      <x:c r="C4" s="19"/>
      <x:c r="D4" s="30" t="str">
        <x:f>IF(COUNT(C4,B4)=2,C4-B4,"")</x:f>
      </x:c>
    </x:row>
    <x:row r="5" ht="23" customHeight="1">
      <x:c r="A5" s="16" t="str">
        <x:v>Mar</x:v>
      </x:c>
      <x:c r="B5" s="19"/>
      <x:c r="C5" s="19"/>
      <x:c r="D5" s="30" t="str">
        <x:f>IF(COUNT(C5,B5)=2,C5-B5,"")</x:f>
      </x:c>
    </x:row>
    <x:row r="6" ht="23" customHeight="1">
      <x:c r="A6" s="16" t="str">
        <x:v>Apr</x:v>
      </x:c>
      <x:c r="B6" s="19"/>
      <x:c r="C6" s="19"/>
      <x:c r="D6" s="30" t="str">
        <x:f>IF(COUNT(C6,B6)=2,C6-B6,"")</x:f>
      </x:c>
    </x:row>
    <x:row r="7" ht="23" customHeight="1">
      <x:c r="A7" s="16" t="str">
        <x:v>May</x:v>
      </x:c>
      <x:c r="B7" s="19"/>
      <x:c r="C7" s="19"/>
      <x:c r="D7" s="30" t="str">
        <x:f>IF(COUNT(C7,B7)=2,C7-B7,"")</x:f>
      </x:c>
    </x:row>
    <x:row r="8" ht="23" customHeight="1">
      <x:c r="A8" s="16" t="str">
        <x:v>Jun</x:v>
      </x:c>
      <x:c r="B8" s="19"/>
      <x:c r="C8" s="19"/>
      <x:c r="D8" s="30" t="str">
        <x:f>IF(COUNT(C8,B8)=2,C8-B8,"")</x:f>
      </x:c>
    </x:row>
    <x:row r="9" ht="23" customHeight="1">
      <x:c r="A9" s="16" t="str">
        <x:v>Jul</x:v>
      </x:c>
      <x:c r="B9" s="19"/>
      <x:c r="C9" s="19"/>
      <x:c r="D9" s="30" t="str">
        <x:f>IF(COUNT(C9,B9)=2,C9-B9,"")</x:f>
      </x:c>
    </x:row>
    <x:row r="10" ht="23" customHeight="1">
      <x:c r="A10" s="16" t="str">
        <x:v>Aug</x:v>
      </x:c>
      <x:c r="B10" s="19"/>
      <x:c r="C10" s="19"/>
      <x:c r="D10" s="30" t="str">
        <x:f>IF(COUNT(C10,B10)=2,C10-B10,"")</x:f>
      </x:c>
    </x:row>
    <x:row r="11" ht="23" customHeight="1">
      <x:c r="A11" s="16" t="str">
        <x:v>Sep</x:v>
      </x:c>
      <x:c r="B11" s="19"/>
      <x:c r="C11" s="19"/>
      <x:c r="D11" s="30" t="str">
        <x:f>IF(COUNT(C11,B11)=2,C11-B11,"")</x:f>
      </x:c>
    </x:row>
    <x:row r="12" ht="23" customHeight="1">
      <x:c r="A12" s="16" t="str">
        <x:v>Oct</x:v>
      </x:c>
      <x:c r="B12" s="19"/>
      <x:c r="C12" s="19"/>
      <x:c r="D12" s="30" t="str">
        <x:f>IF(COUNT(C12,B12)=2,C12-B12,"")</x:f>
      </x:c>
    </x:row>
    <x:row r="13" ht="23" customHeight="1">
      <x:c r="A13" s="16" t="str">
        <x:v>Nov</x:v>
      </x:c>
      <x:c r="B13" s="19"/>
      <x:c r="C13" s="19"/>
      <x:c r="D13" s="30" t="str">
        <x:f>IF(COUNT(C13,B13)=2,C13-B13,"")</x:f>
      </x:c>
    </x:row>
    <x:row r="14" ht="23" customHeight="1">
      <x:c r="A14" s="16" t="str">
        <x:v>Dec</x:v>
      </x:c>
      <x:c r="B14" s="19"/>
      <x:c r="C14" s="19"/>
      <x:c r="D14" s="30" t="str">
        <x:f>IF(COUNT(C14,B14)=2,C14-B14,"")</x:f>
      </x:c>
    </x:row>
    <x:row r="15" ht="23" customHeight="1">
      <x:c r="A15" s="33" t="str">
        <x:v>Total</x:v>
      </x:c>
      <x:c r="B15" s="36" t="str">
        <x:f>IF(COUNT(B3:B14)=0,"",SUM(B3:B14))</x:f>
      </x:c>
      <x:c r="C15" s="36" t="str">
        <x:f>IF(COUNT(C3:C14)=0,"",SUM(C3:C14))</x:f>
      </x:c>
      <x:c r="D15" s="36" t="str">
        <x:f>IF(COUNT(C15,B15)=2,C15-B15,"")</x:f>
      </x:c>
    </x:row>
    <x:row r="16" ht="23" customHeight="1">
      <x:c r="A16" s="2"/>
      <x:c r="B16" s="4"/>
      <x:c r="C16" s="4"/>
      <x:c r="D16" s="4"/>
    </x:row>
    <x:row r="17" ht="34" customHeight="1">
      <x:c r="A17" s="27" t="str">
        <x:v>EXPENSES</x:v>
      </x:c>
      <x:c r="B17" s="28" t="str">
        <x:v>Budget</x:v>
      </x:c>
      <x:c r="C17" s="28" t="str">
        <x:v>Actual</x:v>
      </x:c>
      <x:c r="D17" s="28" t="str">
        <x:v>Variance</x:v>
      </x:c>
    </x:row>
    <x:row r="18" ht="23" customHeight="1">
      <x:c r="A18" s="16" t="str">
        <x:v>Jan</x:v>
      </x:c>
      <x:c r="B18" s="19"/>
      <x:c r="C18" s="19"/>
      <x:c r="D18" s="30" t="str">
        <x:f>IF(COUNT(C18,B18)=2,C18-B18,"")</x:f>
      </x:c>
    </x:row>
    <x:row r="19" ht="23" customHeight="1">
      <x:c r="A19" s="16" t="str">
        <x:v>Feb</x:v>
      </x:c>
      <x:c r="B19" s="19"/>
      <x:c r="C19" s="19"/>
      <x:c r="D19" s="30" t="str">
        <x:f>IF(COUNT(C19,B19)=2,C19-B19,"")</x:f>
      </x:c>
    </x:row>
    <x:row r="20" ht="23" customHeight="1">
      <x:c r="A20" s="16" t="str">
        <x:v>Mar</x:v>
      </x:c>
      <x:c r="B20" s="19"/>
      <x:c r="C20" s="19"/>
      <x:c r="D20" s="30" t="str">
        <x:f>IF(COUNT(C20,B20)=2,C20-B20,"")</x:f>
      </x:c>
    </x:row>
    <x:row r="21" ht="23" customHeight="1">
      <x:c r="A21" s="16" t="str">
        <x:v>Apr</x:v>
      </x:c>
      <x:c r="B21" s="19"/>
      <x:c r="C21" s="19"/>
      <x:c r="D21" s="30" t="str">
        <x:f>IF(COUNT(C21,B21)=2,C21-B21,"")</x:f>
      </x:c>
    </x:row>
    <x:row r="22" ht="23" customHeight="1">
      <x:c r="A22" s="16" t="str">
        <x:v>May</x:v>
      </x:c>
      <x:c r="B22" s="19"/>
      <x:c r="C22" s="19"/>
      <x:c r="D22" s="30" t="str">
        <x:f>IF(COUNT(C22,B22)=2,C22-B22,"")</x:f>
      </x:c>
    </x:row>
    <x:row r="23" ht="23" customHeight="1">
      <x:c r="A23" s="16" t="str">
        <x:v>Jun</x:v>
      </x:c>
      <x:c r="B23" s="19"/>
      <x:c r="C23" s="19"/>
      <x:c r="D23" s="30" t="str">
        <x:f>IF(COUNT(C23,B23)=2,C23-B23,"")</x:f>
      </x:c>
    </x:row>
    <x:row r="24" ht="23" customHeight="1">
      <x:c r="A24" s="16" t="str">
        <x:v>Jul</x:v>
      </x:c>
      <x:c r="B24" s="19"/>
      <x:c r="C24" s="19"/>
      <x:c r="D24" s="30" t="str">
        <x:f>IF(COUNT(C24,B24)=2,C24-B24,"")</x:f>
      </x:c>
    </x:row>
    <x:row r="25" ht="23" customHeight="1">
      <x:c r="A25" s="16" t="str">
        <x:v>Aug</x:v>
      </x:c>
      <x:c r="B25" s="19"/>
      <x:c r="C25" s="19"/>
      <x:c r="D25" s="30" t="str">
        <x:f>IF(COUNT(C25,B25)=2,C25-B25,"")</x:f>
      </x:c>
    </x:row>
    <x:row r="26" ht="23" customHeight="1">
      <x:c r="A26" s="16" t="str">
        <x:v>Sep</x:v>
      </x:c>
      <x:c r="B26" s="19"/>
      <x:c r="C26" s="19"/>
      <x:c r="D26" s="30" t="str">
        <x:f>IF(COUNT(C26,B26)=2,C26-B26,"")</x:f>
      </x:c>
    </x:row>
    <x:row r="27" ht="23" customHeight="1">
      <x:c r="A27" s="16" t="str">
        <x:v>Oct</x:v>
      </x:c>
      <x:c r="B27" s="19"/>
      <x:c r="C27" s="19"/>
      <x:c r="D27" s="30" t="str">
        <x:f>IF(COUNT(C27,B27)=2,C27-B27,"")</x:f>
      </x:c>
    </x:row>
    <x:row r="28" ht="23" customHeight="1">
      <x:c r="A28" s="16" t="str">
        <x:v>Nov</x:v>
      </x:c>
      <x:c r="B28" s="19"/>
      <x:c r="C28" s="19"/>
      <x:c r="D28" s="30" t="str">
        <x:f>IF(COUNT(C28,B28)=2,C28-B28,"")</x:f>
      </x:c>
    </x:row>
    <x:row r="29" ht="23" customHeight="1">
      <x:c r="A29" s="16" t="str">
        <x:v>Dec</x:v>
      </x:c>
      <x:c r="B29" s="19"/>
      <x:c r="C29" s="19"/>
      <x:c r="D29" s="30" t="str">
        <x:f>IF(COUNT(C29,B29)=2,C29-B29,"")</x:f>
      </x:c>
    </x:row>
    <x:row r="30" ht="23" customHeight="1">
      <x:c r="A30" s="33" t="str">
        <x:v>Total</x:v>
      </x:c>
      <x:c r="B30" s="36" t="str">
        <x:f>IF(COUNT(B18:B29)=0,"",SUM(B18:B29))</x:f>
      </x:c>
      <x:c r="C30" s="36" t="str">
        <x:f>IF(COUNT(C18:C29)=0,"",SUM(C18:C29))</x:f>
      </x:c>
      <x:c r="D30" s="36" t="str">
        <x:f>IF(COUNT(C30,B30)=2,C30-B30,"")</x:f>
      </x:c>
    </x:row>
    <x:row r="31" ht="23" customHeight="1">
      <x:c r="A31" s="2"/>
      <x:c r="B31" s="4"/>
      <x:c r="C31" s="4"/>
      <x:c r="D31" s="4"/>
    </x:row>
    <x:row r="32" ht="34" customHeight="1">
      <x:c r="A32" s="27" t="str">
        <x:v>DISCOUNTS</x:v>
      </x:c>
      <x:c r="B32" s="28" t="str">
        <x:v>Students</x:v>
      </x:c>
      <x:c r="C32" s="28" t="str">
        <x:v>Staff</x:v>
      </x:c>
      <x:c r="D32" s="28" t="str">
        <x:v>Other</x:v>
      </x:c>
    </x:row>
    <x:row r="33" ht="23" customHeight="1">
      <x:c r="A33" s="16" t="str">
        <x:v>Jan</x:v>
      </x:c>
      <x:c r="B33" s="19"/>
      <x:c r="C33" s="19"/>
      <x:c r="D33" s="19"/>
    </x:row>
    <x:row r="34" ht="23" customHeight="1">
      <x:c r="A34" s="16" t="str">
        <x:v>Feb</x:v>
      </x:c>
      <x:c r="B34" s="19"/>
      <x:c r="C34" s="19"/>
      <x:c r="D34" s="19"/>
    </x:row>
    <x:row r="35" ht="23" customHeight="1">
      <x:c r="A35" s="16" t="str">
        <x:v>Mar</x:v>
      </x:c>
      <x:c r="B35" s="19"/>
      <x:c r="C35" s="19"/>
      <x:c r="D35" s="19"/>
    </x:row>
    <x:row r="36" ht="23" customHeight="1">
      <x:c r="A36" s="16" t="str">
        <x:v>Apr</x:v>
      </x:c>
      <x:c r="B36" s="19"/>
      <x:c r="C36" s="19"/>
      <x:c r="D36" s="19"/>
    </x:row>
    <x:row r="37" ht="23" customHeight="1">
      <x:c r="A37" s="16" t="str">
        <x:v>May</x:v>
      </x:c>
      <x:c r="B37" s="19"/>
      <x:c r="C37" s="19"/>
      <x:c r="D37" s="19"/>
    </x:row>
    <x:row r="38" ht="23" customHeight="1">
      <x:c r="A38" s="16" t="str">
        <x:v>Jun</x:v>
      </x:c>
      <x:c r="B38" s="19"/>
      <x:c r="C38" s="19"/>
      <x:c r="D38" s="19"/>
    </x:row>
    <x:row r="39" ht="23" customHeight="1">
      <x:c r="A39" s="16" t="str">
        <x:v>Jul</x:v>
      </x:c>
      <x:c r="B39" s="19"/>
      <x:c r="C39" s="19"/>
      <x:c r="D39" s="19"/>
    </x:row>
    <x:row r="40" ht="23" customHeight="1">
      <x:c r="A40" s="16" t="str">
        <x:v>Aug</x:v>
      </x:c>
      <x:c r="B40" s="19"/>
      <x:c r="C40" s="19"/>
      <x:c r="D40" s="19"/>
    </x:row>
    <x:row r="41" ht="23" customHeight="1">
      <x:c r="A41" s="16" t="str">
        <x:v>Sep</x:v>
      </x:c>
      <x:c r="B41" s="19"/>
      <x:c r="C41" s="19"/>
      <x:c r="D41" s="19"/>
    </x:row>
    <x:row r="42" ht="23" customHeight="1">
      <x:c r="A42" s="16" t="str">
        <x:v>Oct</x:v>
      </x:c>
      <x:c r="B42" s="19"/>
      <x:c r="C42" s="19"/>
      <x:c r="D42" s="19"/>
    </x:row>
    <x:row r="43" ht="23" customHeight="1">
      <x:c r="A43" s="16" t="str">
        <x:v>Nov</x:v>
      </x:c>
      <x:c r="B43" s="19"/>
      <x:c r="C43" s="19"/>
      <x:c r="D43" s="19"/>
    </x:row>
    <x:row r="44" ht="23" customHeight="1">
      <x:c r="A44" s="16" t="str">
        <x:v>Dec</x:v>
      </x:c>
      <x:c r="B44" s="19"/>
      <x:c r="C44" s="19"/>
      <x:c r="D44" s="19"/>
    </x:row>
    <x:row r="45" ht="23" customHeight="1">
      <x:c r="A45" s="33" t="str">
        <x:v>Total</x:v>
      </x:c>
      <x:c r="B45" s="36" t="str">
        <x:f>IF(COUNT(B33:B44)=0,"",SUM(B33:B44))</x:f>
      </x:c>
      <x:c r="C45" s="36" t="str">
        <x:f>IF(COUNT(C33:C44)=0,"",SUM(C33:C44))</x:f>
      </x:c>
      <x:c r="D45" s="36" t="str">
        <x:f>IF(COUNT(D33:D44)=0,"",SUM(D33:D44))</x:f>
      </x:c>
    </x:row>
    <x:row r="46" ht="23" customHeight="1">
      <x:c r="A46" s="2"/>
      <x:c r="B46" s="4"/>
      <x:c r="C46" s="4"/>
      <x:c r="D46" s="4"/>
    </x:row>
    <x:row r="47" ht="23" customHeight="1">
      <x:c r="A47" s="33" t="str">
        <x:v>Total Revenue (actual + opp)</x:v>
      </x:c>
      <x:c r="B47" s="36" t="str">
        <x:f>IF(AND(ISNUMBER(C15),COUNT(B45:D45)&gt;0),C15+SUM(B45:D45),"")</x:f>
      </x:c>
      <x:c r="C47" s="34"/>
      <x:c r="D47" s="34"/>
    </x:row>
  </x:sheetData>
  <x:pageMargins left="0.7" right="0.7" top="0.75" bottom="0.75" header="0.3" footer="0.3"/>
</x:worksheet>
</file>