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8b72c81c6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lp Sheet" sheetId="1" r:id="Ra33e6eadb35f4ba9"/>
    <x:sheet xmlns:r="http://schemas.openxmlformats.org/officeDocument/2006/relationships" name="Finance" sheetId="2" r:id="R3e31b4e2b8ea46d9"/>
    <x:sheet xmlns:r="http://schemas.openxmlformats.org/officeDocument/2006/relationships" name="Direct Visits" sheetId="3" r:id="R05fc025207ea410f"/>
    <x:sheet xmlns:r="http://schemas.openxmlformats.org/officeDocument/2006/relationships" name="Indirect Visits" sheetId="4" r:id="R12dde48a32564913"/>
    <x:sheet xmlns:r="http://schemas.openxmlformats.org/officeDocument/2006/relationships" name="Memberships" sheetId="5" r:id="R42a1d03c61ba445d"/>
    <x:sheet xmlns:r="http://schemas.openxmlformats.org/officeDocument/2006/relationships" name="Enrollments" sheetId="6" r:id="R0b84cc24c7b1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General"/>
    <x:numFmt numFmtId="202" formatCode="0"/>
    <x:numFmt numFmtId="203" formatCode="@"/>
    <x:numFmt numFmtId="204" formatCode="#,##0"/>
  </x:numFmts>
  <x:fonts count="8">
    <x:font>
      <x:sz val="11"/>
      <x:name val="Carlito"/>
    </x:font>
    <x:font>
      <x:sz val="11"/>
      <x:color rgb="FF334155"/>
      <x:name val="Arial"/>
    </x:font>
    <x:font>
      <x:b/>
      <x:sz val="16"/>
      <x:color rgb="FF233D55"/>
      <x:name val="Arial"/>
    </x:font>
    <x:font>
      <x:sz val="11"/>
      <x:color rgb="FF0000FF"/>
      <x:name val="Arial"/>
    </x:font>
    <x:font>
      <x:b/>
      <x:sz val="11"/>
      <x:color rgb="FF334155"/>
      <x:name val="Arial"/>
    </x:font>
    <x:font>
      <x:b/>
      <x:sz val="11"/>
      <x:color rgb="FFFFFFFF"/>
      <x:name val="Arial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DF2F7"/>
      </x:patternFill>
    </x:fill>
    <x:fill>
      <x:patternFill patternType="solid">
        <x:fgColor rgb="FF233D55"/>
      </x:patternFill>
    </x:fill>
    <x:fill>
      <x:patternFill patternType="solid">
        <x:fgColor rgb="FFF8FAF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233D55"/>
      </x:bottom>
      <x:diagonal/>
    </x:border>
    <x:border>
      <x:left/>
      <x:right/>
      <x:top style="thin">
        <x:color rgb="FFCBD5E1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horizontal="left" vertical="center"/>
    </x:xf>
    <x:xf numFmtId="0" fontId="1" fillId="0" borderId="1" xfId="0" applyNumberFormat="1" applyFont="1" applyFill="1" applyBorder="1" applyAlignment="1">
      <x:alignment horizontal="left" vertical="center"/>
    </x:xf>
    <x:xf numFmtId="201" fontId="1" fillId="0" borderId="1" xfId="0" applyNumberFormat="1" applyFont="1" applyFill="1" applyBorder="1" applyAlignment="1">
      <x:alignment horizontal="left" vertical="center"/>
    </x:xf>
    <x:xf numFmtId="201" fontId="1" fillId="2" borderId="0" xfId="0" applyNumberFormat="1" applyFont="1" applyFill="1" applyBorder="1" applyAlignment="1">
      <x:alignment horizontal="left" vertical="center"/>
    </x:xf>
    <x:xf numFmtId="201" fontId="3" fillId="2" borderId="0" xfId="0" applyNumberFormat="1" applyFont="1" applyFill="1" applyBorder="1" applyAlignment="1">
      <x:alignment horizontal="left" vertical="center"/>
    </x:xf>
    <x:xf numFmtId="202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horizontal="right" vertical="center"/>
    </x:xf>
    <x:xf numFmtId="200" fontId="3" fillId="2" borderId="0" xfId="0" applyNumberFormat="1" applyFont="1" applyFill="1" applyBorder="1" applyAlignment="1">
      <x:alignment horizontal="right" vertical="center"/>
    </x:xf>
    <x:xf numFmtId="203" fontId="3" fillId="2" borderId="0" xfId="0" applyNumberFormat="1" applyFont="1" applyFill="1" applyBorder="1" applyAlignment="1">
      <x:alignment horizontal="right"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right" vertical="center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200" fontId="5" fillId="4" borderId="0" xfId="0" applyNumberFormat="1" applyFont="1" applyFill="1" applyBorder="1" applyAlignment="1">
      <x:alignment horizontal="center" vertical="center" wrapText="1"/>
    </x:xf>
    <x:xf numFmtId="200" fontId="1" fillId="5" borderId="0" xfId="0" applyNumberFormat="1" applyFont="1" applyFill="1" applyBorder="1" applyAlignment="1">
      <x:alignment horizontal="right" vertical="center"/>
    </x:xf>
    <x:xf numFmtId="200" fontId="6" fillId="5" borderId="0" xfId="0" applyNumberFormat="1" applyFont="1" applyFill="1" applyBorder="1" applyAlignment="1">
      <x:alignment horizontal="right" vertical="center"/>
    </x:xf>
    <x:xf numFmtId="0" fontId="4" fillId="3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horizontal="right" vertical="center"/>
    </x:xf>
    <x:xf numFmtId="0" fontId="4" fillId="3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horizontal="right" vertical="center"/>
    </x:xf>
    <x:xf numFmtId="200" fontId="4" fillId="5" borderId="2" xfId="0" applyNumberFormat="1" applyFont="1" applyFill="1" applyBorder="1" applyAlignment="1">
      <x:alignment horizontal="right" vertical="center"/>
    </x:xf>
    <x:xf numFmtId="200" fontId="7" fillId="5" borderId="2" xfId="0" applyNumberFormat="1" applyFont="1" applyFill="1" applyBorder="1" applyAlignment="1">
      <x:alignment horizontal="right" vertical="center"/>
    </x:xf>
    <x:xf numFmtId="200" fontId="7" fillId="5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3" fontId="3" fillId="2" borderId="0" xfId="0" applyNumberFormat="1" applyFont="1" applyFill="1" applyBorder="1" applyAlignment="1">
      <x:alignment vertical="center"/>
    </x:xf>
    <x:xf numFmtId="200" fontId="5" fillId="4" borderId="0" xfId="0" applyNumberFormat="1" applyFont="1" applyFill="1" applyBorder="1" applyAlignment="1">
      <x:alignment horizontal="center" vertical="center"/>
    </x:xf>
    <x:xf numFmtId="204" fontId="3" fillId="2" borderId="0" xfId="0" applyNumberFormat="1" applyFont="1" applyFill="1" applyBorder="1" applyAlignment="1">
      <x:alignment horizontal="right" vertical="center"/>
    </x:xf>
    <x:xf numFmtId="204" fontId="1" fillId="3" borderId="0" xfId="0" applyNumberFormat="1" applyFont="1" applyFill="1" applyBorder="1" applyAlignment="1">
      <x:alignment horizontal="right" vertical="center"/>
    </x:xf>
    <x:xf numFmtId="204" fontId="5" fillId="4" borderId="0" xfId="0" applyNumberFormat="1" applyFont="1" applyFill="1" applyBorder="1" applyAlignment="1">
      <x:alignment horizontal="center" vertical="center"/>
    </x:xf>
    <x:xf numFmtId="204" fontId="6" fillId="5" borderId="0" xfId="0" applyNumberFormat="1" applyFont="1" applyFill="1" applyBorder="1" applyAlignment="1">
      <x:alignment horizontal="right" vertical="center"/>
    </x:xf>
    <x:xf numFmtId="204" fontId="7" fillId="5" borderId="0" xfId="0" applyNumberFormat="1" applyFont="1" applyFill="1" applyBorder="1" applyAlignment="1">
      <x:alignment horizontal="right" vertical="center"/>
    </x:xf>
    <x:xf numFmtId="204" fontId="7" fillId="5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257b351ea4819" /><Relationship Type="http://schemas.openxmlformats.org/officeDocument/2006/relationships/theme" Target="/xl/theme/theme1.xml" Id="Rb2f67523bc984383" /><Relationship Type="http://schemas.openxmlformats.org/officeDocument/2006/relationships/sharedStrings" Target="/xl/sharedStrings.xml" Id="R76aa9c8f788b41e1" /><Relationship Type="http://schemas.openxmlformats.org/officeDocument/2006/relationships/worksheet" Target="/xl/worksheets/sheet1.xml" Id="Ra33e6eadb35f4ba9" /><Relationship Type="http://schemas.openxmlformats.org/officeDocument/2006/relationships/worksheet" Target="/xl/worksheets/sheet2.xml" Id="R3e31b4e2b8ea46d9" /><Relationship Type="http://schemas.openxmlformats.org/officeDocument/2006/relationships/worksheet" Target="/xl/worksheets/sheet3.xml" Id="R05fc025207ea410f" /><Relationship Type="http://schemas.openxmlformats.org/officeDocument/2006/relationships/worksheet" Target="/xl/worksheets/sheet4.xml" Id="R12dde48a32564913" /><Relationship Type="http://schemas.openxmlformats.org/officeDocument/2006/relationships/worksheet" Target="/xl/worksheets/sheet5.xml" Id="R42a1d03c61ba445d" /><Relationship Type="http://schemas.openxmlformats.org/officeDocument/2006/relationships/worksheet" Target="/xl/worksheets/sheet6.xml" Id="R0b84cc24c7b14b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3" customHeight="1">
      <x:c r="A1" s="6"/>
      <x:c r="B1" s="7"/>
      <x:c r="C1" s="7"/>
      <x:c r="D1" s="7"/>
      <x:c r="E1" s="7"/>
      <x:c r="F1" s="7"/>
      <x:c r="G1" s="7"/>
      <x:c r="H1" s="7"/>
    </x:row>
    <x:row r="2" ht="23" customHeight="1">
      <x:c r="A2" s="8" t="str">
        <x:v>Detailed Site Report template</x:v>
      </x:c>
      <x:c r="B2" s="7"/>
      <x:c r="C2" s="7"/>
      <x:c r="D2" s="7"/>
      <x:c r="E2" s="7"/>
      <x:c r="F2" s="7"/>
      <x:c r="G2" s="7"/>
      <x:c r="H2" s="7"/>
    </x:row>
    <x:row r="3" ht="23" customHeight="1">
      <x:c r="A3" s="9"/>
      <x:c r="B3" s="10"/>
      <x:c r="C3" s="10"/>
      <x:c r="D3" s="10"/>
      <x:c r="E3" s="10"/>
      <x:c r="F3" s="10"/>
      <x:c r="G3" s="10"/>
      <x:c r="H3" s="10"/>
    </x:row>
    <x:row r="4" ht="23" customHeight="1">
      <x:c r="A4" s="6"/>
      <x:c r="B4" s="7"/>
      <x:c r="C4" s="7"/>
      <x:c r="D4" s="7"/>
      <x:c r="E4" s="7"/>
      <x:c r="F4" s="7"/>
      <x:c r="G4" s="7"/>
      <x:c r="H4" s="7"/>
    </x:row>
    <x:row r="5" ht="23" customHeight="1">
      <x:c r="A5" s="6" t="str">
        <x:v>Reporting year</x:v>
      </x:c>
      <x:c r="B5" s="13" t="n">
        <x:v>2026</x:v>
      </x:c>
      <x:c r="C5" s="7"/>
      <x:c r="D5" s="7"/>
      <x:c r="E5" s="7"/>
      <x:c r="F5" s="7"/>
      <x:c r="G5" s="7"/>
      <x:c r="H5" s="7"/>
    </x:row>
    <x:row r="6" ht="23" customHeight="1">
      <x:c r="A6" s="6"/>
      <x:c r="B6" s="7"/>
      <x:c r="C6" s="7"/>
      <x:c r="D6" s="7"/>
      <x:c r="E6" s="7"/>
      <x:c r="F6" s="7"/>
      <x:c r="G6" s="7"/>
      <x:c r="H6" s="7"/>
    </x:row>
    <x:row r="7" ht="43" customHeight="1">
      <x:c r="A7" s="14" t="str">
        <x:v>Save As</x:v>
      </x:c>
      <x:c r="B7" s="15" t="str">
        <x:v>&lt;site&gt; Site Report &lt;year&gt;.xlsx</x:v>
      </x:c>
      <x:c r="C7" s="15"/>
      <x:c r="D7" s="15"/>
      <x:c r="E7" s="15"/>
      <x:c r="F7" s="15"/>
      <x:c r="G7" s="15"/>
      <x:c r="H7" s="15"/>
    </x:row>
    <x:row r="8" ht="43" customHeight="1">
      <x:c r="A8" s="14" t="str">
        <x:v>Amber cells</x:v>
      </x:c>
      <x:c r="B8" s="15" t="str">
        <x:v>Enter your reported values or replace an example activity/item label.</x:v>
      </x:c>
      <x:c r="C8" s="15"/>
      <x:c r="D8" s="15"/>
      <x:c r="E8" s="15"/>
      <x:c r="F8" s="15"/>
      <x:c r="G8" s="15"/>
      <x:c r="H8" s="15"/>
    </x:row>
    <x:row r="9" ht="43" customHeight="1">
      <x:c r="A9" s="14" t="str">
        <x:v>Dark / grey headings</x:v>
      </x:c>
      <x:c r="B9" s="15" t="str">
        <x:v>Keep the required titles, month labels and table structure.</x:v>
      </x:c>
      <x:c r="C9" s="15"/>
      <x:c r="D9" s="15"/>
      <x:c r="E9" s="15"/>
      <x:c r="F9" s="15"/>
      <x:c r="G9" s="15"/>
      <x:c r="H9" s="15"/>
    </x:row>
    <x:row r="10" ht="43" customHeight="1">
      <x:c r="A10" s="14" t="str">
        <x:v>Calculated cells</x:v>
      </x:c>
      <x:c r="B10" s="15" t="str">
        <x:v>Keep formulas. After adding rows/columns, extend affected totals and save in Excel.</x:v>
      </x:c>
      <x:c r="C10" s="15"/>
      <x:c r="D10" s="15"/>
      <x:c r="E10" s="15"/>
      <x:c r="F10" s="15"/>
      <x:c r="G10" s="15"/>
      <x:c r="H10" s="15"/>
    </x:row>
    <x:row r="11" ht="43" customHeight="1">
      <x:c r="A11" s="14" t="str">
        <x:v>Blank and zero</x:v>
      </x:c>
      <x:c r="B11" s="15" t="str">
        <x:v>Blank means unreported. Enter 0 only for a confirmed zero. Start with a copy of this blank template.</x:v>
      </x:c>
      <x:c r="C11" s="15"/>
      <x:c r="D11" s="15"/>
      <x:c r="E11" s="15"/>
      <x:c r="F11" s="15"/>
      <x:c r="G11" s="15"/>
      <x:c r="H11" s="15"/>
    </x:row>
    <x:row r="12" ht="43" customHeight="1">
      <x:c r="A12" s="14" t="str">
        <x:v>Required sheets</x:v>
      </x:c>
      <x:c r="B12" s="15" t="str">
        <x:v>Keep Finance, Direct Visits and Indirect Visits. Keep Memberships and Enrollments when reporting those measures.</x:v>
      </x:c>
      <x:c r="C12" s="15"/>
      <x:c r="D12" s="15"/>
      <x:c r="E12" s="15"/>
      <x:c r="F12" s="15"/>
      <x:c r="G12" s="15"/>
      <x:c r="H12" s="15"/>
    </x:row>
    <x:row r="13" ht="43" customHeight="1">
      <x:c r="A13" s="14" t="str">
        <x:v>Finance headings</x:v>
      </x:c>
      <x:c r="B13" s="15" t="str">
        <x:v>Keep the Income, Expenses, Discounts and Total Revenue sections. Finance uses the same layout as Monthly Site Reports.</x:v>
      </x:c>
      <x:c r="C13" s="15"/>
      <x:c r="D13" s="15"/>
      <x:c r="E13" s="15"/>
      <x:c r="F13" s="15"/>
      <x:c r="G13" s="15"/>
      <x:c r="H13" s="15"/>
    </x:row>
    <x:row r="14" ht="43" customHeight="1">
      <x:c r="A14" s="14" t="str">
        <x:v>Add activities</x:v>
      </x:c>
      <x:c r="B14" s="15" t="str">
        <x:v>Rename Activity 1 / Activity 2, or insert activity rows before Total in Visits. Extend the activity-total formulas.</x:v>
      </x:c>
      <x:c r="C14" s="15"/>
      <x:c r="D14" s="15"/>
      <x:c r="E14" s="15"/>
      <x:c r="F14" s="15"/>
      <x:c r="G14" s="15"/>
      <x:c r="H14" s="15"/>
    </x:row>
    <x:row r="15" ht="43" customHeight="1">
      <x:c r="A15" s="14" t="str">
        <x:v>Add audiences</x:v>
      </x:c>
      <x:c r="B15" s="15" t="str">
        <x:v>Insert the new audience before Total in every month and YTD block. Use mutually exclusive attendance counts, then extend totals.</x:v>
      </x:c>
      <x:c r="C15" s="15"/>
      <x:c r="D15" s="15"/>
      <x:c r="E15" s="15"/>
      <x:c r="F15" s="15"/>
      <x:c r="G15" s="15"/>
      <x:c r="H15" s="15"/>
    </x:row>
    <x:row r="16" ht="43" customHeight="1">
      <x:c r="A16" s="14" t="str">
        <x:v>Add member indicators</x:v>
      </x:c>
      <x:c r="B16" s="15" t="str">
        <x:v>Insert a labelled numeric indicator column beside existing metrics, retaining Month and Jan-Dec rows.</x:v>
      </x:c>
      <x:c r="C16" s="15"/>
      <x:c r="D16" s="15"/>
      <x:c r="E16" s="15"/>
      <x:c r="F16" s="15"/>
      <x:c r="G16" s="15"/>
      <x:c r="H16" s="15"/>
    </x:row>
    <x:row r="17" ht="43" customHeight="1">
      <x:c r="A17" s="14" t="str">
        <x:v>Total relationships</x:v>
      </x:c>
      <x:c r="B17" s="15" t="str">
        <x:v>Adding an indicator does not define its role in existing totals. Keep the current Students/Staff/Community subtotal meanings.</x:v>
      </x:c>
      <x:c r="C17" s="15"/>
      <x:c r="D17" s="15"/>
      <x:c r="E17" s="15"/>
      <x:c r="F17" s="15"/>
      <x:c r="G17" s="15"/>
      <x:c r="H17" s="15"/>
    </x:row>
    <x:row r="18" ht="43" customHeight="1">
      <x:c r="A18" s="14" t="str">
        <x:v>Other sites</x:v>
      </x:c>
      <x:c r="B18" s="15" t="str">
        <x:v>Save a separate workbook for each site/program/year. Use the actual site name in the filename.</x:v>
      </x:c>
      <x:c r="C18" s="15"/>
      <x:c r="D18" s="15"/>
      <x:c r="E18" s="15"/>
      <x:c r="F18" s="15"/>
      <x:c r="G18" s="15"/>
      <x:c r="H18" s="15"/>
    </x:row>
    <x:row r="19" ht="43" customHeight="1">
      <x:c r="A19" s="14" t="str">
        <x:v>Before uploading</x:v>
      </x:c>
      <x:c r="B19" s="15" t="str">
        <x:v>Use the matching year in the filename and Reporting year above. Save after Excel recalculates.</x:v>
      </x:c>
      <x:c r="C19" s="15"/>
      <x:c r="D19" s="15"/>
      <x:c r="E19" s="15"/>
      <x:c r="F19" s="15"/>
      <x:c r="G19" s="15"/>
      <x:c r="H19" s="15"/>
    </x:row>
    <x:row r="20" ht="43" customHeight="1">
      <x:c r="A20" s="14" t="str">
        <x:v>New indicators</x:v>
      </x:c>
      <x:c r="B20" s="15" t="str">
        <x:v>New numeric indicators are retained in supported layouts. They do not automatically become chart or forecast targets.</x:v>
      </x:c>
      <x:c r="C20" s="15"/>
      <x:c r="D20" s="15"/>
      <x:c r="E20" s="15"/>
      <x:c r="F20" s="15"/>
      <x:c r="G20" s="15"/>
      <x:c r="H20" s="15"/>
    </x:row>
    <x:row r="21" ht="43" customHeight="1">
      <x:c r="A21" s="14" t="str">
        <x:v>Other layouts</x:v>
      </x:c>
      <x:c r="B21" s="15" t="str">
        <x:v>Keep worksheet names and the documented block layout. A new worksheet or changed layout needs an extraction rule.</x:v>
      </x:c>
      <x:c r="C21" s="15"/>
      <x:c r="D21" s="15"/>
      <x:c r="E21" s="15"/>
      <x:c r="F21" s="15"/>
      <x:c r="G21" s="15"/>
      <x:c r="H21" s="15"/>
    </x:row>
    <x:row r="22" ht="43" customHeight="1">
      <x:c r="A22" s="14" t="str">
        <x:v>Layout source</x:v>
      </x:c>
      <x:c r="B22" s="15" t="str">
        <x:v>Monash Sport report layouts supplied with this project. No original business figures are included.</x:v>
      </x:c>
      <x:c r="C22" s="15"/>
      <x:c r="D22" s="15"/>
      <x:c r="E22" s="15"/>
      <x:c r="F22" s="15"/>
      <x:c r="G22" s="15"/>
      <x:c r="H22" s="15"/>
    </x:row>
    <x:row r="23" ht="23" customHeight="1">
      <x:c r="A23" s="6"/>
      <x:c r="B23" s="7"/>
      <x:c r="C23" s="7"/>
      <x:c r="D23" s="7"/>
      <x:c r="E23" s="7"/>
      <x:c r="F23" s="7"/>
      <x:c r="G23" s="7"/>
      <x:c r="H23" s="7"/>
    </x:row>
    <x:row r="24" ht="23" customHeight="1">
      <x:c r="A24" s="6"/>
      <x:c r="B24" s="7"/>
      <x:c r="C24" s="7"/>
      <x:c r="D24" s="7"/>
      <x:c r="E24" s="7"/>
      <x:c r="F24" s="7"/>
      <x:c r="G24" s="7"/>
      <x:c r="H24" s="7"/>
    </x:row>
    <x:row r="25" ht="23" customHeight="1">
      <x:c r="A25" s="6"/>
      <x:c r="B25" s="7"/>
      <x:c r="C25" s="7"/>
      <x:c r="D25" s="7"/>
      <x:c r="E25" s="7"/>
      <x:c r="F25" s="7"/>
      <x:c r="G25" s="7"/>
      <x:c r="H25" s="7"/>
    </x:row>
    <x:row r="26" ht="23" customHeight="1">
      <x:c r="A26" s="6"/>
      <x:c r="B26" s="7"/>
      <x:c r="C26" s="7"/>
      <x:c r="D26" s="7"/>
      <x:c r="E26" s="7"/>
      <x:c r="F26" s="7"/>
      <x:c r="G26" s="7"/>
      <x:c r="H26" s="7"/>
    </x:row>
    <x:row r="27" ht="23" customHeight="1">
      <x:c r="A27" s="6"/>
      <x:c r="B27" s="7"/>
      <x:c r="C27" s="7"/>
      <x:c r="D27" s="7"/>
      <x:c r="E27" s="7"/>
      <x:c r="F27" s="7"/>
      <x:c r="G27" s="7"/>
      <x:c r="H27" s="7"/>
    </x:row>
    <x:row r="28" ht="23" customHeight="1">
      <x:c r="A28" s="6"/>
      <x:c r="B28" s="7"/>
      <x:c r="C28" s="7"/>
      <x:c r="D28" s="7"/>
      <x:c r="E28" s="7"/>
      <x:c r="F28" s="7"/>
      <x:c r="G28" s="7"/>
      <x:c r="H28" s="7"/>
    </x:row>
    <x:row r="29" ht="23" customHeight="1">
      <x:c r="A29" s="6"/>
      <x:c r="B29" s="7"/>
      <x:c r="C29" s="7"/>
      <x:c r="D29" s="7"/>
      <x:c r="E29" s="7"/>
      <x:c r="F29" s="7"/>
      <x:c r="G29" s="7"/>
      <x:c r="H29" s="7"/>
    </x:row>
    <x:row r="30" ht="23" customHeight="1">
      <x:c r="A30" s="6"/>
      <x:c r="B30" s="7"/>
      <x:c r="C30" s="7"/>
      <x:c r="D30" s="7"/>
      <x:c r="E30" s="7"/>
      <x:c r="F30" s="7"/>
      <x:c r="G30" s="7"/>
      <x:c r="H30" s="7"/>
    </x:row>
    <x:row r="31" ht="23" customHeight="1">
      <x:c r="A31" s="6"/>
      <x:c r="B31" s="7"/>
      <x:c r="C31" s="7"/>
      <x:c r="D31" s="7"/>
      <x:c r="E31" s="7"/>
      <x:c r="F31" s="7"/>
      <x:c r="G31" s="7"/>
      <x:c r="H31" s="7"/>
    </x:row>
    <x:row r="32" ht="23" customHeight="1">
      <x:c r="A32" s="6"/>
      <x:c r="B32" s="7"/>
      <x:c r="C32" s="7"/>
      <x:c r="D32" s="7"/>
      <x:c r="E32" s="7"/>
      <x:c r="F32" s="7"/>
      <x:c r="G32" s="7"/>
      <x:c r="H32" s="7"/>
    </x:row>
  </x:sheetData>
  <x:mergeCells>
    <x:mergeCell ref="A2:H2"/>
    <x:mergeCell ref="B7:H7"/>
    <x:mergeCell ref="B8:H8"/>
    <x:mergeCell ref="B9:H9"/>
    <x:mergeCell ref="B10:H10"/>
    <x:mergeCell ref="B11:H11"/>
    <x:mergeCell ref="B12:H12"/>
    <x:mergeCell ref="B13:H13"/>
    <x:mergeCell ref="B14:H14"/>
    <x:mergeCell ref="B15:H15"/>
    <x:mergeCell ref="B16:H16"/>
    <x:mergeCell ref="B17:H17"/>
    <x:mergeCell ref="B18:H18"/>
    <x:mergeCell ref="B19:H19"/>
    <x:mergeCell ref="B20:H20"/>
    <x:mergeCell ref="B21:H21"/>
    <x:mergeCell ref="B22:H22"/>
  </x:mergeCells>
  <x:dataValidations count="1">
    <x:dataValidation type="whole" operator="between" sqref="B5">
      <x:formula1>1900</x:formula1>
      <x:formula2>2099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38" hidden="0" customWidth="1"/>
    <x:col min="2" max="2" width="16" hidden="0" customWidth="1"/>
    <x:col min="3" max="3" width="16" hidden="0" customWidth="1"/>
    <x:col min="4" max="4" width="16" hidden="0" customWidth="1"/>
  </x:cols>
  <x:sheetData>
    <x:row r="1" ht="23" customHeight="1">
      <x:c r="A1" s="16" t="str">
        <x:v>Business unit</x:v>
      </x:c>
      <x:c r="B1" s="20" t="str">
        <x:v>New Sport</x:v>
      </x:c>
      <x:c r="C1" s="17"/>
      <x:c r="D1" s="17"/>
    </x:row>
    <x:row r="2" ht="34" customHeight="1">
      <x:c r="A2" s="27" t="str">
        <x:v>INCOME</x:v>
      </x:c>
      <x:c r="B2" s="28" t="str">
        <x:v>Budget</x:v>
      </x:c>
      <x:c r="C2" s="28" t="str">
        <x:v>Actual</x:v>
      </x:c>
      <x:c r="D2" s="28" t="str">
        <x:v>Variance</x:v>
      </x:c>
    </x:row>
    <x:row r="3" ht="23" customHeight="1">
      <x:c r="A3" s="16" t="str">
        <x:v>Jan</x:v>
      </x:c>
      <x:c r="B3" s="19"/>
      <x:c r="C3" s="19"/>
      <x:c r="D3" s="30" t="str">
        <x:f>IF(COUNT(C3,B3)=2,C3-B3,"")</x:f>
      </x:c>
    </x:row>
    <x:row r="4" ht="23" customHeight="1">
      <x:c r="A4" s="16" t="str">
        <x:v>Feb</x:v>
      </x:c>
      <x:c r="B4" s="19"/>
      <x:c r="C4" s="19"/>
      <x:c r="D4" s="30" t="str">
        <x:f>IF(COUNT(C4,B4)=2,C4-B4,"")</x:f>
      </x:c>
    </x:row>
    <x:row r="5" ht="23" customHeight="1">
      <x:c r="A5" s="16" t="str">
        <x:v>Mar</x:v>
      </x:c>
      <x:c r="B5" s="19"/>
      <x:c r="C5" s="19"/>
      <x:c r="D5" s="30" t="str">
        <x:f>IF(COUNT(C5,B5)=2,C5-B5,"")</x:f>
      </x:c>
    </x:row>
    <x:row r="6" ht="23" customHeight="1">
      <x:c r="A6" s="16" t="str">
        <x:v>Apr</x:v>
      </x:c>
      <x:c r="B6" s="19"/>
      <x:c r="C6" s="19"/>
      <x:c r="D6" s="30" t="str">
        <x:f>IF(COUNT(C6,B6)=2,C6-B6,"")</x:f>
      </x:c>
    </x:row>
    <x:row r="7" ht="23" customHeight="1">
      <x:c r="A7" s="16" t="str">
        <x:v>May</x:v>
      </x:c>
      <x:c r="B7" s="19"/>
      <x:c r="C7" s="19"/>
      <x:c r="D7" s="30" t="str">
        <x:f>IF(COUNT(C7,B7)=2,C7-B7,"")</x:f>
      </x:c>
    </x:row>
    <x:row r="8" ht="23" customHeight="1">
      <x:c r="A8" s="16" t="str">
        <x:v>Jun</x:v>
      </x:c>
      <x:c r="B8" s="19"/>
      <x:c r="C8" s="19"/>
      <x:c r="D8" s="30" t="str">
        <x:f>IF(COUNT(C8,B8)=2,C8-B8,"")</x:f>
      </x:c>
    </x:row>
    <x:row r="9" ht="23" customHeight="1">
      <x:c r="A9" s="16" t="str">
        <x:v>Jul</x:v>
      </x:c>
      <x:c r="B9" s="19"/>
      <x:c r="C9" s="19"/>
      <x:c r="D9" s="30" t="str">
        <x:f>IF(COUNT(C9,B9)=2,C9-B9,"")</x:f>
      </x:c>
    </x:row>
    <x:row r="10" ht="23" customHeight="1">
      <x:c r="A10" s="16" t="str">
        <x:v>Aug</x:v>
      </x:c>
      <x:c r="B10" s="19"/>
      <x:c r="C10" s="19"/>
      <x:c r="D10" s="30" t="str">
        <x:f>IF(COUNT(C10,B10)=2,C10-B10,"")</x:f>
      </x:c>
    </x:row>
    <x:row r="11" ht="23" customHeight="1">
      <x:c r="A11" s="16" t="str">
        <x:v>Sep</x:v>
      </x:c>
      <x:c r="B11" s="19"/>
      <x:c r="C11" s="19"/>
      <x:c r="D11" s="30" t="str">
        <x:f>IF(COUNT(C11,B11)=2,C11-B11,"")</x:f>
      </x:c>
    </x:row>
    <x:row r="12" ht="23" customHeight="1">
      <x:c r="A12" s="16" t="str">
        <x:v>Oct</x:v>
      </x:c>
      <x:c r="B12" s="19"/>
      <x:c r="C12" s="19"/>
      <x:c r="D12" s="30" t="str">
        <x:f>IF(COUNT(C12,B12)=2,C12-B12,"")</x:f>
      </x:c>
    </x:row>
    <x:row r="13" ht="23" customHeight="1">
      <x:c r="A13" s="16" t="str">
        <x:v>Nov</x:v>
      </x:c>
      <x:c r="B13" s="19"/>
      <x:c r="C13" s="19"/>
      <x:c r="D13" s="30" t="str">
        <x:f>IF(COUNT(C13,B13)=2,C13-B13,"")</x:f>
      </x:c>
    </x:row>
    <x:row r="14" ht="23" customHeight="1">
      <x:c r="A14" s="16" t="str">
        <x:v>Dec</x:v>
      </x:c>
      <x:c r="B14" s="19"/>
      <x:c r="C14" s="19"/>
      <x:c r="D14" s="30" t="str">
        <x:f>IF(COUNT(C14,B14)=2,C14-B14,"")</x:f>
      </x:c>
    </x:row>
    <x:row r="15" ht="23" customHeight="1">
      <x:c r="A15" s="33" t="str">
        <x:v>Total</x:v>
      </x:c>
      <x:c r="B15" s="36" t="str">
        <x:f>IF(COUNT(B3:B14)=0,"",SUM(B3:B14))</x:f>
      </x:c>
      <x:c r="C15" s="36" t="str">
        <x:f>IF(COUNT(C3:C14)=0,"",SUM(C3:C14))</x:f>
      </x:c>
      <x:c r="D15" s="36" t="str">
        <x:f>IF(COUNT(C15,B15)=2,C15-B15,"")</x:f>
      </x:c>
    </x:row>
    <x:row r="16" ht="23" customHeight="1">
      <x:c r="A16" s="2"/>
      <x:c r="B16" s="4"/>
      <x:c r="C16" s="4"/>
      <x:c r="D16" s="4"/>
    </x:row>
    <x:row r="17" ht="34" customHeight="1">
      <x:c r="A17" s="27" t="str">
        <x:v>EXPENSES</x:v>
      </x:c>
      <x:c r="B17" s="28" t="str">
        <x:v>Budget</x:v>
      </x:c>
      <x:c r="C17" s="28" t="str">
        <x:v>Actual</x:v>
      </x:c>
      <x:c r="D17" s="28" t="str">
        <x:v>Variance</x:v>
      </x:c>
    </x:row>
    <x:row r="18" ht="23" customHeight="1">
      <x:c r="A18" s="16" t="str">
        <x:v>Jan</x:v>
      </x:c>
      <x:c r="B18" s="19"/>
      <x:c r="C18" s="19"/>
      <x:c r="D18" s="30" t="str">
        <x:f>IF(COUNT(C18,B18)=2,C18-B18,"")</x:f>
      </x:c>
    </x:row>
    <x:row r="19" ht="23" customHeight="1">
      <x:c r="A19" s="16" t="str">
        <x:v>Feb</x:v>
      </x:c>
      <x:c r="B19" s="19"/>
      <x:c r="C19" s="19"/>
      <x:c r="D19" s="30" t="str">
        <x:f>IF(COUNT(C19,B19)=2,C19-B19,"")</x:f>
      </x:c>
    </x:row>
    <x:row r="20" ht="23" customHeight="1">
      <x:c r="A20" s="16" t="str">
        <x:v>Mar</x:v>
      </x:c>
      <x:c r="B20" s="19"/>
      <x:c r="C20" s="19"/>
      <x:c r="D20" s="30" t="str">
        <x:f>IF(COUNT(C20,B20)=2,C20-B20,"")</x:f>
      </x:c>
    </x:row>
    <x:row r="21" ht="23" customHeight="1">
      <x:c r="A21" s="16" t="str">
        <x:v>Apr</x:v>
      </x:c>
      <x:c r="B21" s="19"/>
      <x:c r="C21" s="19"/>
      <x:c r="D21" s="30" t="str">
        <x:f>IF(COUNT(C21,B21)=2,C21-B21,"")</x:f>
      </x:c>
    </x:row>
    <x:row r="22" ht="23" customHeight="1">
      <x:c r="A22" s="16" t="str">
        <x:v>May</x:v>
      </x:c>
      <x:c r="B22" s="19"/>
      <x:c r="C22" s="19"/>
      <x:c r="D22" s="30" t="str">
        <x:f>IF(COUNT(C22,B22)=2,C22-B22,"")</x:f>
      </x:c>
    </x:row>
    <x:row r="23" ht="23" customHeight="1">
      <x:c r="A23" s="16" t="str">
        <x:v>Jun</x:v>
      </x:c>
      <x:c r="B23" s="19"/>
      <x:c r="C23" s="19"/>
      <x:c r="D23" s="30" t="str">
        <x:f>IF(COUNT(C23,B23)=2,C23-B23,"")</x:f>
      </x:c>
    </x:row>
    <x:row r="24" ht="23" customHeight="1">
      <x:c r="A24" s="16" t="str">
        <x:v>Jul</x:v>
      </x:c>
      <x:c r="B24" s="19"/>
      <x:c r="C24" s="19"/>
      <x:c r="D24" s="30" t="str">
        <x:f>IF(COUNT(C24,B24)=2,C24-B24,"")</x:f>
      </x:c>
    </x:row>
    <x:row r="25" ht="23" customHeight="1">
      <x:c r="A25" s="16" t="str">
        <x:v>Aug</x:v>
      </x:c>
      <x:c r="B25" s="19"/>
      <x:c r="C25" s="19"/>
      <x:c r="D25" s="30" t="str">
        <x:f>IF(COUNT(C25,B25)=2,C25-B25,"")</x:f>
      </x:c>
    </x:row>
    <x:row r="26" ht="23" customHeight="1">
      <x:c r="A26" s="16" t="str">
        <x:v>Sep</x:v>
      </x:c>
      <x:c r="B26" s="19"/>
      <x:c r="C26" s="19"/>
      <x:c r="D26" s="30" t="str">
        <x:f>IF(COUNT(C26,B26)=2,C26-B26,"")</x:f>
      </x:c>
    </x:row>
    <x:row r="27" ht="23" customHeight="1">
      <x:c r="A27" s="16" t="str">
        <x:v>Oct</x:v>
      </x:c>
      <x:c r="B27" s="19"/>
      <x:c r="C27" s="19"/>
      <x:c r="D27" s="30" t="str">
        <x:f>IF(COUNT(C27,B27)=2,C27-B27,"")</x:f>
      </x:c>
    </x:row>
    <x:row r="28" ht="23" customHeight="1">
      <x:c r="A28" s="16" t="str">
        <x:v>Nov</x:v>
      </x:c>
      <x:c r="B28" s="19"/>
      <x:c r="C28" s="19"/>
      <x:c r="D28" s="30" t="str">
        <x:f>IF(COUNT(C28,B28)=2,C28-B28,"")</x:f>
      </x:c>
    </x:row>
    <x:row r="29" ht="23" customHeight="1">
      <x:c r="A29" s="16" t="str">
        <x:v>Dec</x:v>
      </x:c>
      <x:c r="B29" s="19"/>
      <x:c r="C29" s="19"/>
      <x:c r="D29" s="30" t="str">
        <x:f>IF(COUNT(C29,B29)=2,C29-B29,"")</x:f>
      </x:c>
    </x:row>
    <x:row r="30" ht="23" customHeight="1">
      <x:c r="A30" s="33" t="str">
        <x:v>Total</x:v>
      </x:c>
      <x:c r="B30" s="36" t="str">
        <x:f>IF(COUNT(B18:B29)=0,"",SUM(B18:B29))</x:f>
      </x:c>
      <x:c r="C30" s="36" t="str">
        <x:f>IF(COUNT(C18:C29)=0,"",SUM(C18:C29))</x:f>
      </x:c>
      <x:c r="D30" s="36" t="str">
        <x:f>IF(COUNT(C30,B30)=2,C30-B30,"")</x:f>
      </x:c>
    </x:row>
    <x:row r="31" ht="23" customHeight="1">
      <x:c r="A31" s="2"/>
      <x:c r="B31" s="4"/>
      <x:c r="C31" s="4"/>
      <x:c r="D31" s="4"/>
    </x:row>
    <x:row r="32" ht="34" customHeight="1">
      <x:c r="A32" s="27" t="str">
        <x:v>DISCOUNTS</x:v>
      </x:c>
      <x:c r="B32" s="28" t="str">
        <x:v>Students</x:v>
      </x:c>
      <x:c r="C32" s="28" t="str">
        <x:v>Staff</x:v>
      </x:c>
      <x:c r="D32" s="28" t="str">
        <x:v>Other</x:v>
      </x:c>
    </x:row>
    <x:row r="33" ht="23" customHeight="1">
      <x:c r="A33" s="16" t="str">
        <x:v>Jan</x:v>
      </x:c>
      <x:c r="B33" s="19"/>
      <x:c r="C33" s="19"/>
      <x:c r="D33" s="19"/>
    </x:row>
    <x:row r="34" ht="23" customHeight="1">
      <x:c r="A34" s="16" t="str">
        <x:v>Feb</x:v>
      </x:c>
      <x:c r="B34" s="19"/>
      <x:c r="C34" s="19"/>
      <x:c r="D34" s="19"/>
    </x:row>
    <x:row r="35" ht="23" customHeight="1">
      <x:c r="A35" s="16" t="str">
        <x:v>Mar</x:v>
      </x:c>
      <x:c r="B35" s="19"/>
      <x:c r="C35" s="19"/>
      <x:c r="D35" s="19"/>
    </x:row>
    <x:row r="36" ht="23" customHeight="1">
      <x:c r="A36" s="16" t="str">
        <x:v>Apr</x:v>
      </x:c>
      <x:c r="B36" s="19"/>
      <x:c r="C36" s="19"/>
      <x:c r="D36" s="19"/>
    </x:row>
    <x:row r="37" ht="23" customHeight="1">
      <x:c r="A37" s="16" t="str">
        <x:v>May</x:v>
      </x:c>
      <x:c r="B37" s="19"/>
      <x:c r="C37" s="19"/>
      <x:c r="D37" s="19"/>
    </x:row>
    <x:row r="38" ht="23" customHeight="1">
      <x:c r="A38" s="16" t="str">
        <x:v>Jun</x:v>
      </x:c>
      <x:c r="B38" s="19"/>
      <x:c r="C38" s="19"/>
      <x:c r="D38" s="19"/>
    </x:row>
    <x:row r="39" ht="23" customHeight="1">
      <x:c r="A39" s="16" t="str">
        <x:v>Jul</x:v>
      </x:c>
      <x:c r="B39" s="19"/>
      <x:c r="C39" s="19"/>
      <x:c r="D39" s="19"/>
    </x:row>
    <x:row r="40" ht="23" customHeight="1">
      <x:c r="A40" s="16" t="str">
        <x:v>Aug</x:v>
      </x:c>
      <x:c r="B40" s="19"/>
      <x:c r="C40" s="19"/>
      <x:c r="D40" s="19"/>
    </x:row>
    <x:row r="41" ht="23" customHeight="1">
      <x:c r="A41" s="16" t="str">
        <x:v>Sep</x:v>
      </x:c>
      <x:c r="B41" s="19"/>
      <x:c r="C41" s="19"/>
      <x:c r="D41" s="19"/>
    </x:row>
    <x:row r="42" ht="23" customHeight="1">
      <x:c r="A42" s="16" t="str">
        <x:v>Oct</x:v>
      </x:c>
      <x:c r="B42" s="19"/>
      <x:c r="C42" s="19"/>
      <x:c r="D42" s="19"/>
    </x:row>
    <x:row r="43" ht="23" customHeight="1">
      <x:c r="A43" s="16" t="str">
        <x:v>Nov</x:v>
      </x:c>
      <x:c r="B43" s="19"/>
      <x:c r="C43" s="19"/>
      <x:c r="D43" s="19"/>
    </x:row>
    <x:row r="44" ht="23" customHeight="1">
      <x:c r="A44" s="16" t="str">
        <x:v>Dec</x:v>
      </x:c>
      <x:c r="B44" s="19"/>
      <x:c r="C44" s="19"/>
      <x:c r="D44" s="19"/>
    </x:row>
    <x:row r="45" ht="23" customHeight="1">
      <x:c r="A45" s="33" t="str">
        <x:v>Total</x:v>
      </x:c>
      <x:c r="B45" s="36" t="str">
        <x:f>IF(COUNT(B33:B44)=0,"",SUM(B33:B44))</x:f>
      </x:c>
      <x:c r="C45" s="36" t="str">
        <x:f>IF(COUNT(C33:C44)=0,"",SUM(C33:C44))</x:f>
      </x:c>
      <x:c r="D45" s="36" t="str">
        <x:f>IF(COUNT(D33:D44)=0,"",SUM(D33:D44))</x:f>
      </x:c>
    </x:row>
    <x:row r="46" ht="23" customHeight="1">
      <x:c r="A46" s="2"/>
      <x:c r="B46" s="4"/>
      <x:c r="C46" s="4"/>
      <x:c r="D46" s="4"/>
    </x:row>
    <x:row r="47" ht="23" customHeight="1">
      <x:c r="A47" s="33" t="str">
        <x:v>Total Revenue (actual + opp)</x:v>
      </x:c>
      <x:c r="B47" s="36" t="str">
        <x:f>IF(AND(ISNUMBER(C15),COUNT(B45:D45)&gt;0),C15+SUM(B45:D45),"")</x:f>
      </x:c>
      <x:c r="C47" s="34"/>
      <x:c r="D47" s="3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3" customHeight="1">
      <x:c r="A1" s="16" t="str">
        <x:v>Activity</x:v>
      </x:c>
      <x:c r="B1" s="43" t="str">
        <x:v>Jan</x:v>
      </x:c>
      <x:c r="C1" s="43"/>
      <x:c r="D1" s="43"/>
      <x:c r="E1" s="43"/>
      <x:c r="F1" s="43" t="str">
        <x:v>Feb</x:v>
      </x:c>
      <x:c r="G1" s="43"/>
      <x:c r="H1" s="43"/>
      <x:c r="I1" s="43"/>
      <x:c r="J1" s="43" t="str">
        <x:v>Mar</x:v>
      </x:c>
      <x:c r="K1" s="43"/>
      <x:c r="L1" s="43"/>
      <x:c r="M1" s="43"/>
      <x:c r="N1" s="43" t="str">
        <x:v>Apr</x:v>
      </x:c>
      <x:c r="O1" s="43"/>
      <x:c r="P1" s="43"/>
      <x:c r="Q1" s="43"/>
      <x:c r="R1" s="43" t="str">
        <x:v>May</x:v>
      </x:c>
      <x:c r="S1" s="43"/>
      <x:c r="T1" s="43"/>
      <x:c r="U1" s="43"/>
      <x:c r="V1" s="43" t="str">
        <x:v>Jun</x:v>
      </x:c>
      <x:c r="W1" s="43"/>
      <x:c r="X1" s="43"/>
      <x:c r="Y1" s="43"/>
      <x:c r="Z1" s="43" t="str">
        <x:v>Jul</x:v>
      </x:c>
      <x:c r="AA1" s="43"/>
      <x:c r="AB1" s="43"/>
      <x:c r="AC1" s="43"/>
      <x:c r="AD1" s="43" t="str">
        <x:v>Aug</x:v>
      </x:c>
      <x:c r="AE1" s="43"/>
      <x:c r="AF1" s="43"/>
      <x:c r="AG1" s="43"/>
      <x:c r="AH1" s="43" t="str">
        <x:v>Sep</x:v>
      </x:c>
      <x:c r="AI1" s="43"/>
      <x:c r="AJ1" s="43"/>
      <x:c r="AK1" s="43"/>
      <x:c r="AL1" s="43" t="str">
        <x:v>Oct</x:v>
      </x:c>
      <x:c r="AM1" s="43"/>
      <x:c r="AN1" s="43"/>
      <x:c r="AO1" s="43"/>
      <x:c r="AP1" s="43" t="str">
        <x:v>Nov</x:v>
      </x:c>
      <x:c r="AQ1" s="43"/>
      <x:c r="AR1" s="43"/>
      <x:c r="AS1" s="43"/>
      <x:c r="AT1" s="43" t="str">
        <x:v>Dec</x:v>
      </x:c>
      <x:c r="AU1" s="43"/>
      <x:c r="AV1" s="43"/>
      <x:c r="AW1" s="43"/>
      <x:c r="AX1" s="43" t="str">
        <x:v>YTD Total</x:v>
      </x:c>
      <x:c r="AY1" s="43"/>
      <x:c r="AZ1" s="43"/>
      <x:c r="BA1" s="43"/>
    </x:row>
    <x:row r="2" ht="34" customHeight="1">
      <x:c r="A2" s="2"/>
      <x:c r="B2" s="44" t="str">
        <x:v>Students</x:v>
      </x:c>
      <x:c r="C2" s="44" t="str">
        <x:v>Staff</x:v>
      </x:c>
      <x:c r="D2" s="44" t="str">
        <x:v>Community</x:v>
      </x:c>
      <x:c r="E2" s="44" t="str">
        <x:v>Total</x:v>
      </x:c>
      <x:c r="F2" s="44" t="str">
        <x:v>Students</x:v>
      </x:c>
      <x:c r="G2" s="44" t="str">
        <x:v>Staff</x:v>
      </x:c>
      <x:c r="H2" s="44" t="str">
        <x:v>Community</x:v>
      </x:c>
      <x:c r="I2" s="44" t="str">
        <x:v>Total</x:v>
      </x:c>
      <x:c r="J2" s="44" t="str">
        <x:v>Students</x:v>
      </x:c>
      <x:c r="K2" s="44" t="str">
        <x:v>Staff</x:v>
      </x:c>
      <x:c r="L2" s="44" t="str">
        <x:v>Community</x:v>
      </x:c>
      <x:c r="M2" s="44" t="str">
        <x:v>Total</x:v>
      </x:c>
      <x:c r="N2" s="44" t="str">
        <x:v>Students</x:v>
      </x:c>
      <x:c r="O2" s="44" t="str">
        <x:v>Staff</x:v>
      </x:c>
      <x:c r="P2" s="44" t="str">
        <x:v>Community</x:v>
      </x:c>
      <x:c r="Q2" s="44" t="str">
        <x:v>Total</x:v>
      </x:c>
      <x:c r="R2" s="44" t="str">
        <x:v>Students</x:v>
      </x:c>
      <x:c r="S2" s="44" t="str">
        <x:v>Staff</x:v>
      </x:c>
      <x:c r="T2" s="44" t="str">
        <x:v>Community</x:v>
      </x:c>
      <x:c r="U2" s="44" t="str">
        <x:v>Total</x:v>
      </x:c>
      <x:c r="V2" s="44" t="str">
        <x:v>Students</x:v>
      </x:c>
      <x:c r="W2" s="44" t="str">
        <x:v>Staff</x:v>
      </x:c>
      <x:c r="X2" s="44" t="str">
        <x:v>Community</x:v>
      </x:c>
      <x:c r="Y2" s="44" t="str">
        <x:v>Total</x:v>
      </x:c>
      <x:c r="Z2" s="44" t="str">
        <x:v>Students</x:v>
      </x:c>
      <x:c r="AA2" s="44" t="str">
        <x:v>Staff</x:v>
      </x:c>
      <x:c r="AB2" s="44" t="str">
        <x:v>Community</x:v>
      </x:c>
      <x:c r="AC2" s="44" t="str">
        <x:v>Total</x:v>
      </x:c>
      <x:c r="AD2" s="44" t="str">
        <x:v>Students</x:v>
      </x:c>
      <x:c r="AE2" s="44" t="str">
        <x:v>Staff</x:v>
      </x:c>
      <x:c r="AF2" s="44" t="str">
        <x:v>Community</x:v>
      </x:c>
      <x:c r="AG2" s="44" t="str">
        <x:v>Total</x:v>
      </x:c>
      <x:c r="AH2" s="44" t="str">
        <x:v>Students</x:v>
      </x:c>
      <x:c r="AI2" s="44" t="str">
        <x:v>Staff</x:v>
      </x:c>
      <x:c r="AJ2" s="44" t="str">
        <x:v>Community</x:v>
      </x:c>
      <x:c r="AK2" s="44" t="str">
        <x:v>Total</x:v>
      </x:c>
      <x:c r="AL2" s="44" t="str">
        <x:v>Students</x:v>
      </x:c>
      <x:c r="AM2" s="44" t="str">
        <x:v>Staff</x:v>
      </x:c>
      <x:c r="AN2" s="44" t="str">
        <x:v>Community</x:v>
      </x:c>
      <x:c r="AO2" s="44" t="str">
        <x:v>Total</x:v>
      </x:c>
      <x:c r="AP2" s="44" t="str">
        <x:v>Students</x:v>
      </x:c>
      <x:c r="AQ2" s="44" t="str">
        <x:v>Staff</x:v>
      </x:c>
      <x:c r="AR2" s="44" t="str">
        <x:v>Community</x:v>
      </x:c>
      <x:c r="AS2" s="44" t="str">
        <x:v>Total</x:v>
      </x:c>
      <x:c r="AT2" s="44" t="str">
        <x:v>Students</x:v>
      </x:c>
      <x:c r="AU2" s="44" t="str">
        <x:v>Staff</x:v>
      </x:c>
      <x:c r="AV2" s="44" t="str">
        <x:v>Community</x:v>
      </x:c>
      <x:c r="AW2" s="44" t="str">
        <x:v>Total</x:v>
      </x:c>
      <x:c r="AX2" s="44" t="str">
        <x:v>Students</x:v>
      </x:c>
      <x:c r="AY2" s="44" t="str">
        <x:v>Staff</x:v>
      </x:c>
      <x:c r="AZ2" s="44" t="str">
        <x:v>Community</x:v>
      </x:c>
      <x:c r="BA2" s="44" t="str">
        <x:v>Total</x:v>
      </x:c>
    </x:row>
    <x:row r="3" ht="23" customHeight="1">
      <x:c r="A3" s="40" t="str">
        <x:v>Activity 1</x:v>
      </x:c>
      <x:c r="B3" s="42"/>
      <x:c r="C3" s="42"/>
      <x:c r="D3" s="42"/>
      <x:c r="E3" s="45" t="str">
        <x:f>IF(COUNT(B3:D3)=3,SUM(B3:D3),"")</x:f>
      </x:c>
      <x:c r="F3" s="42"/>
      <x:c r="G3" s="42"/>
      <x:c r="H3" s="42"/>
      <x:c r="I3" s="45" t="str">
        <x:f>IF(COUNT(F3:H3)=3,SUM(F3:H3),"")</x:f>
      </x:c>
      <x:c r="J3" s="42"/>
      <x:c r="K3" s="42"/>
      <x:c r="L3" s="42"/>
      <x:c r="M3" s="45" t="str">
        <x:f>IF(COUNT(J3:L3)=3,SUM(J3:L3),"")</x:f>
      </x:c>
      <x:c r="N3" s="42"/>
      <x:c r="O3" s="42"/>
      <x:c r="P3" s="42"/>
      <x:c r="Q3" s="45" t="str">
        <x:f>IF(COUNT(N3:P3)=3,SUM(N3:P3),"")</x:f>
      </x:c>
      <x:c r="R3" s="42"/>
      <x:c r="S3" s="42"/>
      <x:c r="T3" s="42"/>
      <x:c r="U3" s="45" t="str">
        <x:f>IF(COUNT(R3:T3)=3,SUM(R3:T3),"")</x:f>
      </x:c>
      <x:c r="V3" s="42"/>
      <x:c r="W3" s="42"/>
      <x:c r="X3" s="42"/>
      <x:c r="Y3" s="45" t="str">
        <x:f>IF(COUNT(V3:X3)=3,SUM(V3:X3),"")</x:f>
      </x:c>
      <x:c r="Z3" s="42"/>
      <x:c r="AA3" s="42"/>
      <x:c r="AB3" s="42"/>
      <x:c r="AC3" s="45" t="str">
        <x:f>IF(COUNT(Z3:AB3)=3,SUM(Z3:AB3),"")</x:f>
      </x:c>
      <x:c r="AD3" s="42"/>
      <x:c r="AE3" s="42"/>
      <x:c r="AF3" s="42"/>
      <x:c r="AG3" s="45" t="str">
        <x:f>IF(COUNT(AD3:AF3)=3,SUM(AD3:AF3),"")</x:f>
      </x:c>
      <x:c r="AH3" s="42"/>
      <x:c r="AI3" s="42"/>
      <x:c r="AJ3" s="42"/>
      <x:c r="AK3" s="45" t="str">
        <x:f>IF(COUNT(AH3:AJ3)=3,SUM(AH3:AJ3),"")</x:f>
      </x:c>
      <x:c r="AL3" s="42"/>
      <x:c r="AM3" s="42"/>
      <x:c r="AN3" s="42"/>
      <x:c r="AO3" s="45" t="str">
        <x:f>IF(COUNT(AL3:AN3)=3,SUM(AL3:AN3),"")</x:f>
      </x:c>
      <x:c r="AP3" s="42"/>
      <x:c r="AQ3" s="42"/>
      <x:c r="AR3" s="42"/>
      <x:c r="AS3" s="45" t="str">
        <x:f>IF(COUNT(AP3:AR3)=3,SUM(AP3:AR3),"")</x:f>
      </x:c>
      <x:c r="AT3" s="42"/>
      <x:c r="AU3" s="42"/>
      <x:c r="AV3" s="42"/>
      <x:c r="AW3" s="45" t="str">
        <x:f>IF(COUNT(AT3:AV3)=3,SUM(AT3:AV3),"")</x:f>
      </x:c>
      <x:c r="AX3" s="45" t="str">
        <x:f>IF(COUNT(B3,F3,J3,N3,R3,V3,Z3,AD3,AH3,AL3,AP3,AT3)=0,"",SUM(B3,F3,J3,N3,R3,V3,Z3,AD3,AH3,AL3,AP3,AT3))</x:f>
      </x:c>
      <x:c r="AY3" s="45" t="str">
        <x:f>IF(COUNT(C3,G3,K3,O3,S3,W3,AA3,AE3,AI3,AM3,AQ3,AU3)=0,"",SUM(C3,G3,K3,O3,S3,W3,AA3,AE3,AI3,AM3,AQ3,AU3))</x:f>
      </x:c>
      <x:c r="AZ3" s="45" t="str">
        <x:f>IF(COUNT(D3,H3,L3,P3,T3,X3,AB3,AF3,AJ3,AN3,AR3,AV3)=0,"",SUM(D3,H3,L3,P3,T3,X3,AB3,AF3,AJ3,AN3,AR3,AV3))</x:f>
      </x:c>
      <x:c r="BA3" s="45" t="str">
        <x:f>IF(COUNT(AX3:AZ3)=3,SUM(AX3:AZ3),"")</x:f>
      </x:c>
    </x:row>
    <x:row r="4" ht="23" customHeight="1">
      <x:c r="A4" s="40" t="str">
        <x:v>Activity 2</x:v>
      </x:c>
      <x:c r="B4" s="42"/>
      <x:c r="C4" s="42"/>
      <x:c r="D4" s="42"/>
      <x:c r="E4" s="45" t="str">
        <x:f>IF(COUNT(B4:D4)=3,SUM(B4:D4),"")</x:f>
      </x:c>
      <x:c r="F4" s="42"/>
      <x:c r="G4" s="42"/>
      <x:c r="H4" s="42"/>
      <x:c r="I4" s="45" t="str">
        <x:f>IF(COUNT(F4:H4)=3,SUM(F4:H4),"")</x:f>
      </x:c>
      <x:c r="J4" s="42"/>
      <x:c r="K4" s="42"/>
      <x:c r="L4" s="42"/>
      <x:c r="M4" s="45" t="str">
        <x:f>IF(COUNT(J4:L4)=3,SUM(J4:L4),"")</x:f>
      </x:c>
      <x:c r="N4" s="42"/>
      <x:c r="O4" s="42"/>
      <x:c r="P4" s="42"/>
      <x:c r="Q4" s="45" t="str">
        <x:f>IF(COUNT(N4:P4)=3,SUM(N4:P4),"")</x:f>
      </x:c>
      <x:c r="R4" s="42"/>
      <x:c r="S4" s="42"/>
      <x:c r="T4" s="42"/>
      <x:c r="U4" s="45" t="str">
        <x:f>IF(COUNT(R4:T4)=3,SUM(R4:T4),"")</x:f>
      </x:c>
      <x:c r="V4" s="42"/>
      <x:c r="W4" s="42"/>
      <x:c r="X4" s="42"/>
      <x:c r="Y4" s="45" t="str">
        <x:f>IF(COUNT(V4:X4)=3,SUM(V4:X4),"")</x:f>
      </x:c>
      <x:c r="Z4" s="42"/>
      <x:c r="AA4" s="42"/>
      <x:c r="AB4" s="42"/>
      <x:c r="AC4" s="45" t="str">
        <x:f>IF(COUNT(Z4:AB4)=3,SUM(Z4:AB4),"")</x:f>
      </x:c>
      <x:c r="AD4" s="42"/>
      <x:c r="AE4" s="42"/>
      <x:c r="AF4" s="42"/>
      <x:c r="AG4" s="45" t="str">
        <x:f>IF(COUNT(AD4:AF4)=3,SUM(AD4:AF4),"")</x:f>
      </x:c>
      <x:c r="AH4" s="42"/>
      <x:c r="AI4" s="42"/>
      <x:c r="AJ4" s="42"/>
      <x:c r="AK4" s="45" t="str">
        <x:f>IF(COUNT(AH4:AJ4)=3,SUM(AH4:AJ4),"")</x:f>
      </x:c>
      <x:c r="AL4" s="42"/>
      <x:c r="AM4" s="42"/>
      <x:c r="AN4" s="42"/>
      <x:c r="AO4" s="45" t="str">
        <x:f>IF(COUNT(AL4:AN4)=3,SUM(AL4:AN4),"")</x:f>
      </x:c>
      <x:c r="AP4" s="42"/>
      <x:c r="AQ4" s="42"/>
      <x:c r="AR4" s="42"/>
      <x:c r="AS4" s="45" t="str">
        <x:f>IF(COUNT(AP4:AR4)=3,SUM(AP4:AR4),"")</x:f>
      </x:c>
      <x:c r="AT4" s="42"/>
      <x:c r="AU4" s="42"/>
      <x:c r="AV4" s="42"/>
      <x:c r="AW4" s="45" t="str">
        <x:f>IF(COUNT(AT4:AV4)=3,SUM(AT4:AV4),"")</x:f>
      </x:c>
      <x:c r="AX4" s="45" t="str">
        <x:f>IF(COUNT(B4,F4,J4,N4,R4,V4,Z4,AD4,AH4,AL4,AP4,AT4)=0,"",SUM(B4,F4,J4,N4,R4,V4,Z4,AD4,AH4,AL4,AP4,AT4))</x:f>
      </x:c>
      <x:c r="AY4" s="45" t="str">
        <x:f>IF(COUNT(C4,G4,K4,O4,S4,W4,AA4,AE4,AI4,AM4,AQ4,AU4)=0,"",SUM(C4,G4,K4,O4,S4,W4,AA4,AE4,AI4,AM4,AQ4,AU4))</x:f>
      </x:c>
      <x:c r="AZ4" s="45" t="str">
        <x:f>IF(COUNT(D4,H4,L4,P4,T4,X4,AB4,AF4,AJ4,AN4,AR4,AV4)=0,"",SUM(D4,H4,L4,P4,T4,X4,AB4,AF4,AJ4,AN4,AR4,AV4))</x:f>
      </x:c>
      <x:c r="BA4" s="45" t="str">
        <x:f>IF(COUNT(AX4:AZ4)=3,SUM(AX4:AZ4),"")</x:f>
      </x:c>
    </x:row>
    <x:row r="5" ht="23" customHeight="1">
      <x:c r="A5" s="33" t="str">
        <x:v>Total</x:v>
      </x:c>
      <x:c r="B5" s="47" t="str">
        <x:f>IF(COUNT(B3:B4)=0,"",SUM(B3:B4))</x:f>
      </x:c>
      <x:c r="C5" s="47" t="str">
        <x:f>IF(COUNT(C3:C4)=0,"",SUM(C3:C4))</x:f>
      </x:c>
      <x:c r="D5" s="47" t="str">
        <x:f>IF(COUNT(D3:D4)=0,"",SUM(D3:D4))</x:f>
      </x:c>
      <x:c r="E5" s="47" t="str">
        <x:f>IF(COUNT(E3:E4)=0,"",SUM(E3:E4))</x:f>
      </x:c>
      <x:c r="F5" s="47" t="str">
        <x:f>IF(COUNT(F3:F4)=0,"",SUM(F3:F4))</x:f>
      </x:c>
      <x:c r="G5" s="47" t="str">
        <x:f>IF(COUNT(G3:G4)=0,"",SUM(G3:G4))</x:f>
      </x:c>
      <x:c r="H5" s="47" t="str">
        <x:f>IF(COUNT(H3:H4)=0,"",SUM(H3:H4))</x:f>
      </x:c>
      <x:c r="I5" s="47" t="str">
        <x:f>IF(COUNT(I3:I4)=0,"",SUM(I3:I4))</x:f>
      </x:c>
      <x:c r="J5" s="47" t="str">
        <x:f>IF(COUNT(J3:J4)=0,"",SUM(J3:J4))</x:f>
      </x:c>
      <x:c r="K5" s="47" t="str">
        <x:f>IF(COUNT(K3:K4)=0,"",SUM(K3:K4))</x:f>
      </x:c>
      <x:c r="L5" s="47" t="str">
        <x:f>IF(COUNT(L3:L4)=0,"",SUM(L3:L4))</x:f>
      </x:c>
      <x:c r="M5" s="47" t="str">
        <x:f>IF(COUNT(M3:M4)=0,"",SUM(M3:M4))</x:f>
      </x:c>
      <x:c r="N5" s="47" t="str">
        <x:f>IF(COUNT(N3:N4)=0,"",SUM(N3:N4))</x:f>
      </x:c>
      <x:c r="O5" s="47" t="str">
        <x:f>IF(COUNT(O3:O4)=0,"",SUM(O3:O4))</x:f>
      </x:c>
      <x:c r="P5" s="47" t="str">
        <x:f>IF(COUNT(P3:P4)=0,"",SUM(P3:P4))</x:f>
      </x:c>
      <x:c r="Q5" s="47" t="str">
        <x:f>IF(COUNT(Q3:Q4)=0,"",SUM(Q3:Q4))</x:f>
      </x:c>
      <x:c r="R5" s="47" t="str">
        <x:f>IF(COUNT(R3:R4)=0,"",SUM(R3:R4))</x:f>
      </x:c>
      <x:c r="S5" s="47" t="str">
        <x:f>IF(COUNT(S3:S4)=0,"",SUM(S3:S4))</x:f>
      </x:c>
      <x:c r="T5" s="47" t="str">
        <x:f>IF(COUNT(T3:T4)=0,"",SUM(T3:T4))</x:f>
      </x:c>
      <x:c r="U5" s="47" t="str">
        <x:f>IF(COUNT(U3:U4)=0,"",SUM(U3:U4))</x:f>
      </x:c>
      <x:c r="V5" s="47" t="str">
        <x:f>IF(COUNT(V3:V4)=0,"",SUM(V3:V4))</x:f>
      </x:c>
      <x:c r="W5" s="47" t="str">
        <x:f>IF(COUNT(W3:W4)=0,"",SUM(W3:W4))</x:f>
      </x:c>
      <x:c r="X5" s="47" t="str">
        <x:f>IF(COUNT(X3:X4)=0,"",SUM(X3:X4))</x:f>
      </x:c>
      <x:c r="Y5" s="47" t="str">
        <x:f>IF(COUNT(Y3:Y4)=0,"",SUM(Y3:Y4))</x:f>
      </x:c>
      <x:c r="Z5" s="47" t="str">
        <x:f>IF(COUNT(Z3:Z4)=0,"",SUM(Z3:Z4))</x:f>
      </x:c>
      <x:c r="AA5" s="47" t="str">
        <x:f>IF(COUNT(AA3:AA4)=0,"",SUM(AA3:AA4))</x:f>
      </x:c>
      <x:c r="AB5" s="47" t="str">
        <x:f>IF(COUNT(AB3:AB4)=0,"",SUM(AB3:AB4))</x:f>
      </x:c>
      <x:c r="AC5" s="47" t="str">
        <x:f>IF(COUNT(AC3:AC4)=0,"",SUM(AC3:AC4))</x:f>
      </x:c>
      <x:c r="AD5" s="47" t="str">
        <x:f>IF(COUNT(AD3:AD4)=0,"",SUM(AD3:AD4))</x:f>
      </x:c>
      <x:c r="AE5" s="47" t="str">
        <x:f>IF(COUNT(AE3:AE4)=0,"",SUM(AE3:AE4))</x:f>
      </x:c>
      <x:c r="AF5" s="47" t="str">
        <x:f>IF(COUNT(AF3:AF4)=0,"",SUM(AF3:AF4))</x:f>
      </x:c>
      <x:c r="AG5" s="47" t="str">
        <x:f>IF(COUNT(AG3:AG4)=0,"",SUM(AG3:AG4))</x:f>
      </x:c>
      <x:c r="AH5" s="47" t="str">
        <x:f>IF(COUNT(AH3:AH4)=0,"",SUM(AH3:AH4))</x:f>
      </x:c>
      <x:c r="AI5" s="47" t="str">
        <x:f>IF(COUNT(AI3:AI4)=0,"",SUM(AI3:AI4))</x:f>
      </x:c>
      <x:c r="AJ5" s="47" t="str">
        <x:f>IF(COUNT(AJ3:AJ4)=0,"",SUM(AJ3:AJ4))</x:f>
      </x:c>
      <x:c r="AK5" s="47" t="str">
        <x:f>IF(COUNT(AK3:AK4)=0,"",SUM(AK3:AK4))</x:f>
      </x:c>
      <x:c r="AL5" s="47" t="str">
        <x:f>IF(COUNT(AL3:AL4)=0,"",SUM(AL3:AL4))</x:f>
      </x:c>
      <x:c r="AM5" s="47" t="str">
        <x:f>IF(COUNT(AM3:AM4)=0,"",SUM(AM3:AM4))</x:f>
      </x:c>
      <x:c r="AN5" s="47" t="str">
        <x:f>IF(COUNT(AN3:AN4)=0,"",SUM(AN3:AN4))</x:f>
      </x:c>
      <x:c r="AO5" s="47" t="str">
        <x:f>IF(COUNT(AO3:AO4)=0,"",SUM(AO3:AO4))</x:f>
      </x:c>
      <x:c r="AP5" s="47" t="str">
        <x:f>IF(COUNT(AP3:AP4)=0,"",SUM(AP3:AP4))</x:f>
      </x:c>
      <x:c r="AQ5" s="47" t="str">
        <x:f>IF(COUNT(AQ3:AQ4)=0,"",SUM(AQ3:AQ4))</x:f>
      </x:c>
      <x:c r="AR5" s="47" t="str">
        <x:f>IF(COUNT(AR3:AR4)=0,"",SUM(AR3:AR4))</x:f>
      </x:c>
      <x:c r="AS5" s="47" t="str">
        <x:f>IF(COUNT(AS3:AS4)=0,"",SUM(AS3:AS4))</x:f>
      </x:c>
      <x:c r="AT5" s="47" t="str">
        <x:f>IF(COUNT(AT3:AT4)=0,"",SUM(AT3:AT4))</x:f>
      </x:c>
      <x:c r="AU5" s="47" t="str">
        <x:f>IF(COUNT(AU3:AU4)=0,"",SUM(AU3:AU4))</x:f>
      </x:c>
      <x:c r="AV5" s="47" t="str">
        <x:f>IF(COUNT(AV3:AV4)=0,"",SUM(AV3:AV4))</x:f>
      </x:c>
      <x:c r="AW5" s="47" t="str">
        <x:f>IF(COUNT(AW3:AW4)=0,"",SUM(AW3:AW4))</x:f>
      </x:c>
      <x:c r="AX5" s="47" t="str">
        <x:f>IF(COUNT(AX3:AX4)=0,"",SUM(AX3:AX4))</x:f>
      </x:c>
      <x:c r="AY5" s="47" t="str">
        <x:f>IF(COUNT(AY3:AY4)=0,"",SUM(AY3:AY4))</x:f>
      </x:c>
      <x:c r="AZ5" s="47" t="str">
        <x:f>IF(COUNT(AZ3:AZ4)=0,"",SUM(AZ3:AZ4))</x:f>
      </x:c>
      <x:c r="BA5" s="47" t="str">
        <x:f>IF(COUNT(BA3:BA4)=0,"",SUM(BA3:BA4))</x:f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2" topLeftCell="B3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</x:cols>
  <x:sheetData>
    <x:row r="1" ht="23" customHeight="1">
      <x:c r="A1" s="16" t="str">
        <x:v>Activity</x:v>
      </x:c>
      <x:c r="B1" s="43" t="str">
        <x:v>Jan</x:v>
      </x:c>
      <x:c r="C1" s="43"/>
      <x:c r="D1" s="43"/>
      <x:c r="E1" s="43"/>
      <x:c r="F1" s="43" t="str">
        <x:v>Feb</x:v>
      </x:c>
      <x:c r="G1" s="43"/>
      <x:c r="H1" s="43"/>
      <x:c r="I1" s="43"/>
      <x:c r="J1" s="43" t="str">
        <x:v>Mar</x:v>
      </x:c>
      <x:c r="K1" s="43"/>
      <x:c r="L1" s="43"/>
      <x:c r="M1" s="43"/>
      <x:c r="N1" s="43" t="str">
        <x:v>Apr</x:v>
      </x:c>
      <x:c r="O1" s="43"/>
      <x:c r="P1" s="43"/>
      <x:c r="Q1" s="43"/>
      <x:c r="R1" s="43" t="str">
        <x:v>May</x:v>
      </x:c>
      <x:c r="S1" s="43"/>
      <x:c r="T1" s="43"/>
      <x:c r="U1" s="43"/>
      <x:c r="V1" s="43" t="str">
        <x:v>Jun</x:v>
      </x:c>
      <x:c r="W1" s="43"/>
      <x:c r="X1" s="43"/>
      <x:c r="Y1" s="43"/>
      <x:c r="Z1" s="43" t="str">
        <x:v>Jul</x:v>
      </x:c>
      <x:c r="AA1" s="43"/>
      <x:c r="AB1" s="43"/>
      <x:c r="AC1" s="43"/>
      <x:c r="AD1" s="43" t="str">
        <x:v>Aug</x:v>
      </x:c>
      <x:c r="AE1" s="43"/>
      <x:c r="AF1" s="43"/>
      <x:c r="AG1" s="43"/>
      <x:c r="AH1" s="43" t="str">
        <x:v>Sep</x:v>
      </x:c>
      <x:c r="AI1" s="43"/>
      <x:c r="AJ1" s="43"/>
      <x:c r="AK1" s="43"/>
      <x:c r="AL1" s="43" t="str">
        <x:v>Oct</x:v>
      </x:c>
      <x:c r="AM1" s="43"/>
      <x:c r="AN1" s="43"/>
      <x:c r="AO1" s="43"/>
      <x:c r="AP1" s="43" t="str">
        <x:v>Nov</x:v>
      </x:c>
      <x:c r="AQ1" s="43"/>
      <x:c r="AR1" s="43"/>
      <x:c r="AS1" s="43"/>
      <x:c r="AT1" s="43" t="str">
        <x:v>Dec</x:v>
      </x:c>
      <x:c r="AU1" s="43"/>
      <x:c r="AV1" s="43"/>
      <x:c r="AW1" s="43"/>
      <x:c r="AX1" s="43" t="str">
        <x:v>YTD Total</x:v>
      </x:c>
      <x:c r="AY1" s="43"/>
      <x:c r="AZ1" s="43"/>
      <x:c r="BA1" s="43"/>
    </x:row>
    <x:row r="2" ht="34" customHeight="1">
      <x:c r="A2" s="2"/>
      <x:c r="B2" s="44" t="str">
        <x:v>Students</x:v>
      </x:c>
      <x:c r="C2" s="44" t="str">
        <x:v>Staff</x:v>
      </x:c>
      <x:c r="D2" s="44" t="str">
        <x:v>Community</x:v>
      </x:c>
      <x:c r="E2" s="44" t="str">
        <x:v>Total</x:v>
      </x:c>
      <x:c r="F2" s="44" t="str">
        <x:v>Students</x:v>
      </x:c>
      <x:c r="G2" s="44" t="str">
        <x:v>Staff</x:v>
      </x:c>
      <x:c r="H2" s="44" t="str">
        <x:v>Community</x:v>
      </x:c>
      <x:c r="I2" s="44" t="str">
        <x:v>Total</x:v>
      </x:c>
      <x:c r="J2" s="44" t="str">
        <x:v>Students</x:v>
      </x:c>
      <x:c r="K2" s="44" t="str">
        <x:v>Staff</x:v>
      </x:c>
      <x:c r="L2" s="44" t="str">
        <x:v>Community</x:v>
      </x:c>
      <x:c r="M2" s="44" t="str">
        <x:v>Total</x:v>
      </x:c>
      <x:c r="N2" s="44" t="str">
        <x:v>Students</x:v>
      </x:c>
      <x:c r="O2" s="44" t="str">
        <x:v>Staff</x:v>
      </x:c>
      <x:c r="P2" s="44" t="str">
        <x:v>Community</x:v>
      </x:c>
      <x:c r="Q2" s="44" t="str">
        <x:v>Total</x:v>
      </x:c>
      <x:c r="R2" s="44" t="str">
        <x:v>Students</x:v>
      </x:c>
      <x:c r="S2" s="44" t="str">
        <x:v>Staff</x:v>
      </x:c>
      <x:c r="T2" s="44" t="str">
        <x:v>Community</x:v>
      </x:c>
      <x:c r="U2" s="44" t="str">
        <x:v>Total</x:v>
      </x:c>
      <x:c r="V2" s="44" t="str">
        <x:v>Students</x:v>
      </x:c>
      <x:c r="W2" s="44" t="str">
        <x:v>Staff</x:v>
      </x:c>
      <x:c r="X2" s="44" t="str">
        <x:v>Community</x:v>
      </x:c>
      <x:c r="Y2" s="44" t="str">
        <x:v>Total</x:v>
      </x:c>
      <x:c r="Z2" s="44" t="str">
        <x:v>Students</x:v>
      </x:c>
      <x:c r="AA2" s="44" t="str">
        <x:v>Staff</x:v>
      </x:c>
      <x:c r="AB2" s="44" t="str">
        <x:v>Community</x:v>
      </x:c>
      <x:c r="AC2" s="44" t="str">
        <x:v>Total</x:v>
      </x:c>
      <x:c r="AD2" s="44" t="str">
        <x:v>Students</x:v>
      </x:c>
      <x:c r="AE2" s="44" t="str">
        <x:v>Staff</x:v>
      </x:c>
      <x:c r="AF2" s="44" t="str">
        <x:v>Community</x:v>
      </x:c>
      <x:c r="AG2" s="44" t="str">
        <x:v>Total</x:v>
      </x:c>
      <x:c r="AH2" s="44" t="str">
        <x:v>Students</x:v>
      </x:c>
      <x:c r="AI2" s="44" t="str">
        <x:v>Staff</x:v>
      </x:c>
      <x:c r="AJ2" s="44" t="str">
        <x:v>Community</x:v>
      </x:c>
      <x:c r="AK2" s="44" t="str">
        <x:v>Total</x:v>
      </x:c>
      <x:c r="AL2" s="44" t="str">
        <x:v>Students</x:v>
      </x:c>
      <x:c r="AM2" s="44" t="str">
        <x:v>Staff</x:v>
      </x:c>
      <x:c r="AN2" s="44" t="str">
        <x:v>Community</x:v>
      </x:c>
      <x:c r="AO2" s="44" t="str">
        <x:v>Total</x:v>
      </x:c>
      <x:c r="AP2" s="44" t="str">
        <x:v>Students</x:v>
      </x:c>
      <x:c r="AQ2" s="44" t="str">
        <x:v>Staff</x:v>
      </x:c>
      <x:c r="AR2" s="44" t="str">
        <x:v>Community</x:v>
      </x:c>
      <x:c r="AS2" s="44" t="str">
        <x:v>Total</x:v>
      </x:c>
      <x:c r="AT2" s="44" t="str">
        <x:v>Students</x:v>
      </x:c>
      <x:c r="AU2" s="44" t="str">
        <x:v>Staff</x:v>
      </x:c>
      <x:c r="AV2" s="44" t="str">
        <x:v>Community</x:v>
      </x:c>
      <x:c r="AW2" s="44" t="str">
        <x:v>Total</x:v>
      </x:c>
      <x:c r="AX2" s="44" t="str">
        <x:v>Students</x:v>
      </x:c>
      <x:c r="AY2" s="44" t="str">
        <x:v>Staff</x:v>
      </x:c>
      <x:c r="AZ2" s="44" t="str">
        <x:v>Community</x:v>
      </x:c>
      <x:c r="BA2" s="44" t="str">
        <x:v>Total</x:v>
      </x:c>
    </x:row>
    <x:row r="3" ht="23" customHeight="1">
      <x:c r="A3" s="40" t="str">
        <x:v>Activity 1</x:v>
      </x:c>
      <x:c r="B3" s="42"/>
      <x:c r="C3" s="42"/>
      <x:c r="D3" s="42"/>
      <x:c r="E3" s="45" t="str">
        <x:f>IF(COUNT(B3:D3)=3,SUM(B3:D3),"")</x:f>
      </x:c>
      <x:c r="F3" s="42"/>
      <x:c r="G3" s="42"/>
      <x:c r="H3" s="42"/>
      <x:c r="I3" s="45" t="str">
        <x:f>IF(COUNT(F3:H3)=3,SUM(F3:H3),"")</x:f>
      </x:c>
      <x:c r="J3" s="42"/>
      <x:c r="K3" s="42"/>
      <x:c r="L3" s="42"/>
      <x:c r="M3" s="45" t="str">
        <x:f>IF(COUNT(J3:L3)=3,SUM(J3:L3),"")</x:f>
      </x:c>
      <x:c r="N3" s="42"/>
      <x:c r="O3" s="42"/>
      <x:c r="P3" s="42"/>
      <x:c r="Q3" s="45" t="str">
        <x:f>IF(COUNT(N3:P3)=3,SUM(N3:P3),"")</x:f>
      </x:c>
      <x:c r="R3" s="42"/>
      <x:c r="S3" s="42"/>
      <x:c r="T3" s="42"/>
      <x:c r="U3" s="45" t="str">
        <x:f>IF(COUNT(R3:T3)=3,SUM(R3:T3),"")</x:f>
      </x:c>
      <x:c r="V3" s="42"/>
      <x:c r="W3" s="42"/>
      <x:c r="X3" s="42"/>
      <x:c r="Y3" s="45" t="str">
        <x:f>IF(COUNT(V3:X3)=3,SUM(V3:X3),"")</x:f>
      </x:c>
      <x:c r="Z3" s="42"/>
      <x:c r="AA3" s="42"/>
      <x:c r="AB3" s="42"/>
      <x:c r="AC3" s="45" t="str">
        <x:f>IF(COUNT(Z3:AB3)=3,SUM(Z3:AB3),"")</x:f>
      </x:c>
      <x:c r="AD3" s="42"/>
      <x:c r="AE3" s="42"/>
      <x:c r="AF3" s="42"/>
      <x:c r="AG3" s="45" t="str">
        <x:f>IF(COUNT(AD3:AF3)=3,SUM(AD3:AF3),"")</x:f>
      </x:c>
      <x:c r="AH3" s="42"/>
      <x:c r="AI3" s="42"/>
      <x:c r="AJ3" s="42"/>
      <x:c r="AK3" s="45" t="str">
        <x:f>IF(COUNT(AH3:AJ3)=3,SUM(AH3:AJ3),"")</x:f>
      </x:c>
      <x:c r="AL3" s="42"/>
      <x:c r="AM3" s="42"/>
      <x:c r="AN3" s="42"/>
      <x:c r="AO3" s="45" t="str">
        <x:f>IF(COUNT(AL3:AN3)=3,SUM(AL3:AN3),"")</x:f>
      </x:c>
      <x:c r="AP3" s="42"/>
      <x:c r="AQ3" s="42"/>
      <x:c r="AR3" s="42"/>
      <x:c r="AS3" s="45" t="str">
        <x:f>IF(COUNT(AP3:AR3)=3,SUM(AP3:AR3),"")</x:f>
      </x:c>
      <x:c r="AT3" s="42"/>
      <x:c r="AU3" s="42"/>
      <x:c r="AV3" s="42"/>
      <x:c r="AW3" s="45" t="str">
        <x:f>IF(COUNT(AT3:AV3)=3,SUM(AT3:AV3),"")</x:f>
      </x:c>
      <x:c r="AX3" s="45" t="str">
        <x:f>IF(COUNT(B3,F3,J3,N3,R3,V3,Z3,AD3,AH3,AL3,AP3,AT3)=0,"",SUM(B3,F3,J3,N3,R3,V3,Z3,AD3,AH3,AL3,AP3,AT3))</x:f>
      </x:c>
      <x:c r="AY3" s="45" t="str">
        <x:f>IF(COUNT(C3,G3,K3,O3,S3,W3,AA3,AE3,AI3,AM3,AQ3,AU3)=0,"",SUM(C3,G3,K3,O3,S3,W3,AA3,AE3,AI3,AM3,AQ3,AU3))</x:f>
      </x:c>
      <x:c r="AZ3" s="45" t="str">
        <x:f>IF(COUNT(D3,H3,L3,P3,T3,X3,AB3,AF3,AJ3,AN3,AR3,AV3)=0,"",SUM(D3,H3,L3,P3,T3,X3,AB3,AF3,AJ3,AN3,AR3,AV3))</x:f>
      </x:c>
      <x:c r="BA3" s="45" t="str">
        <x:f>IF(COUNT(AX3:AZ3)=3,SUM(AX3:AZ3),"")</x:f>
      </x:c>
    </x:row>
    <x:row r="4" ht="23" customHeight="1">
      <x:c r="A4" s="40" t="str">
        <x:v>Activity 2</x:v>
      </x:c>
      <x:c r="B4" s="42"/>
      <x:c r="C4" s="42"/>
      <x:c r="D4" s="42"/>
      <x:c r="E4" s="45" t="str">
        <x:f>IF(COUNT(B4:D4)=3,SUM(B4:D4),"")</x:f>
      </x:c>
      <x:c r="F4" s="42"/>
      <x:c r="G4" s="42"/>
      <x:c r="H4" s="42"/>
      <x:c r="I4" s="45" t="str">
        <x:f>IF(COUNT(F4:H4)=3,SUM(F4:H4),"")</x:f>
      </x:c>
      <x:c r="J4" s="42"/>
      <x:c r="K4" s="42"/>
      <x:c r="L4" s="42"/>
      <x:c r="M4" s="45" t="str">
        <x:f>IF(COUNT(J4:L4)=3,SUM(J4:L4),"")</x:f>
      </x:c>
      <x:c r="N4" s="42"/>
      <x:c r="O4" s="42"/>
      <x:c r="P4" s="42"/>
      <x:c r="Q4" s="45" t="str">
        <x:f>IF(COUNT(N4:P4)=3,SUM(N4:P4),"")</x:f>
      </x:c>
      <x:c r="R4" s="42"/>
      <x:c r="S4" s="42"/>
      <x:c r="T4" s="42"/>
      <x:c r="U4" s="45" t="str">
        <x:f>IF(COUNT(R4:T4)=3,SUM(R4:T4),"")</x:f>
      </x:c>
      <x:c r="V4" s="42"/>
      <x:c r="W4" s="42"/>
      <x:c r="X4" s="42"/>
      <x:c r="Y4" s="45" t="str">
        <x:f>IF(COUNT(V4:X4)=3,SUM(V4:X4),"")</x:f>
      </x:c>
      <x:c r="Z4" s="42"/>
      <x:c r="AA4" s="42"/>
      <x:c r="AB4" s="42"/>
      <x:c r="AC4" s="45" t="str">
        <x:f>IF(COUNT(Z4:AB4)=3,SUM(Z4:AB4),"")</x:f>
      </x:c>
      <x:c r="AD4" s="42"/>
      <x:c r="AE4" s="42"/>
      <x:c r="AF4" s="42"/>
      <x:c r="AG4" s="45" t="str">
        <x:f>IF(COUNT(AD4:AF4)=3,SUM(AD4:AF4),"")</x:f>
      </x:c>
      <x:c r="AH4" s="42"/>
      <x:c r="AI4" s="42"/>
      <x:c r="AJ4" s="42"/>
      <x:c r="AK4" s="45" t="str">
        <x:f>IF(COUNT(AH4:AJ4)=3,SUM(AH4:AJ4),"")</x:f>
      </x:c>
      <x:c r="AL4" s="42"/>
      <x:c r="AM4" s="42"/>
      <x:c r="AN4" s="42"/>
      <x:c r="AO4" s="45" t="str">
        <x:f>IF(COUNT(AL4:AN4)=3,SUM(AL4:AN4),"")</x:f>
      </x:c>
      <x:c r="AP4" s="42"/>
      <x:c r="AQ4" s="42"/>
      <x:c r="AR4" s="42"/>
      <x:c r="AS4" s="45" t="str">
        <x:f>IF(COUNT(AP4:AR4)=3,SUM(AP4:AR4),"")</x:f>
      </x:c>
      <x:c r="AT4" s="42"/>
      <x:c r="AU4" s="42"/>
      <x:c r="AV4" s="42"/>
      <x:c r="AW4" s="45" t="str">
        <x:f>IF(COUNT(AT4:AV4)=3,SUM(AT4:AV4),"")</x:f>
      </x:c>
      <x:c r="AX4" s="45" t="str">
        <x:f>IF(COUNT(B4,F4,J4,N4,R4,V4,Z4,AD4,AH4,AL4,AP4,AT4)=0,"",SUM(B4,F4,J4,N4,R4,V4,Z4,AD4,AH4,AL4,AP4,AT4))</x:f>
      </x:c>
      <x:c r="AY4" s="45" t="str">
        <x:f>IF(COUNT(C4,G4,K4,O4,S4,W4,AA4,AE4,AI4,AM4,AQ4,AU4)=0,"",SUM(C4,G4,K4,O4,S4,W4,AA4,AE4,AI4,AM4,AQ4,AU4))</x:f>
      </x:c>
      <x:c r="AZ4" s="45" t="str">
        <x:f>IF(COUNT(D4,H4,L4,P4,T4,X4,AB4,AF4,AJ4,AN4,AR4,AV4)=0,"",SUM(D4,H4,L4,P4,T4,X4,AB4,AF4,AJ4,AN4,AR4,AV4))</x:f>
      </x:c>
      <x:c r="BA4" s="45" t="str">
        <x:f>IF(COUNT(AX4:AZ4)=3,SUM(AX4:AZ4),"")</x:f>
      </x:c>
    </x:row>
    <x:row r="5" ht="23" customHeight="1">
      <x:c r="A5" s="33" t="str">
        <x:v>Total</x:v>
      </x:c>
      <x:c r="B5" s="47" t="str">
        <x:f>IF(COUNT(B3:B4)=0,"",SUM(B3:B4))</x:f>
      </x:c>
      <x:c r="C5" s="47" t="str">
        <x:f>IF(COUNT(C3:C4)=0,"",SUM(C3:C4))</x:f>
      </x:c>
      <x:c r="D5" s="47" t="str">
        <x:f>IF(COUNT(D3:D4)=0,"",SUM(D3:D4))</x:f>
      </x:c>
      <x:c r="E5" s="47" t="str">
        <x:f>IF(COUNT(E3:E4)=0,"",SUM(E3:E4))</x:f>
      </x:c>
      <x:c r="F5" s="47" t="str">
        <x:f>IF(COUNT(F3:F4)=0,"",SUM(F3:F4))</x:f>
      </x:c>
      <x:c r="G5" s="47" t="str">
        <x:f>IF(COUNT(G3:G4)=0,"",SUM(G3:G4))</x:f>
      </x:c>
      <x:c r="H5" s="47" t="str">
        <x:f>IF(COUNT(H3:H4)=0,"",SUM(H3:H4))</x:f>
      </x:c>
      <x:c r="I5" s="47" t="str">
        <x:f>IF(COUNT(I3:I4)=0,"",SUM(I3:I4))</x:f>
      </x:c>
      <x:c r="J5" s="47" t="str">
        <x:f>IF(COUNT(J3:J4)=0,"",SUM(J3:J4))</x:f>
      </x:c>
      <x:c r="K5" s="47" t="str">
        <x:f>IF(COUNT(K3:K4)=0,"",SUM(K3:K4))</x:f>
      </x:c>
      <x:c r="L5" s="47" t="str">
        <x:f>IF(COUNT(L3:L4)=0,"",SUM(L3:L4))</x:f>
      </x:c>
      <x:c r="M5" s="47" t="str">
        <x:f>IF(COUNT(M3:M4)=0,"",SUM(M3:M4))</x:f>
      </x:c>
      <x:c r="N5" s="47" t="str">
        <x:f>IF(COUNT(N3:N4)=0,"",SUM(N3:N4))</x:f>
      </x:c>
      <x:c r="O5" s="47" t="str">
        <x:f>IF(COUNT(O3:O4)=0,"",SUM(O3:O4))</x:f>
      </x:c>
      <x:c r="P5" s="47" t="str">
        <x:f>IF(COUNT(P3:P4)=0,"",SUM(P3:P4))</x:f>
      </x:c>
      <x:c r="Q5" s="47" t="str">
        <x:f>IF(COUNT(Q3:Q4)=0,"",SUM(Q3:Q4))</x:f>
      </x:c>
      <x:c r="R5" s="47" t="str">
        <x:f>IF(COUNT(R3:R4)=0,"",SUM(R3:R4))</x:f>
      </x:c>
      <x:c r="S5" s="47" t="str">
        <x:f>IF(COUNT(S3:S4)=0,"",SUM(S3:S4))</x:f>
      </x:c>
      <x:c r="T5" s="47" t="str">
        <x:f>IF(COUNT(T3:T4)=0,"",SUM(T3:T4))</x:f>
      </x:c>
      <x:c r="U5" s="47" t="str">
        <x:f>IF(COUNT(U3:U4)=0,"",SUM(U3:U4))</x:f>
      </x:c>
      <x:c r="V5" s="47" t="str">
        <x:f>IF(COUNT(V3:V4)=0,"",SUM(V3:V4))</x:f>
      </x:c>
      <x:c r="W5" s="47" t="str">
        <x:f>IF(COUNT(W3:W4)=0,"",SUM(W3:W4))</x:f>
      </x:c>
      <x:c r="X5" s="47" t="str">
        <x:f>IF(COUNT(X3:X4)=0,"",SUM(X3:X4))</x:f>
      </x:c>
      <x:c r="Y5" s="47" t="str">
        <x:f>IF(COUNT(Y3:Y4)=0,"",SUM(Y3:Y4))</x:f>
      </x:c>
      <x:c r="Z5" s="47" t="str">
        <x:f>IF(COUNT(Z3:Z4)=0,"",SUM(Z3:Z4))</x:f>
      </x:c>
      <x:c r="AA5" s="47" t="str">
        <x:f>IF(COUNT(AA3:AA4)=0,"",SUM(AA3:AA4))</x:f>
      </x:c>
      <x:c r="AB5" s="47" t="str">
        <x:f>IF(COUNT(AB3:AB4)=0,"",SUM(AB3:AB4))</x:f>
      </x:c>
      <x:c r="AC5" s="47" t="str">
        <x:f>IF(COUNT(AC3:AC4)=0,"",SUM(AC3:AC4))</x:f>
      </x:c>
      <x:c r="AD5" s="47" t="str">
        <x:f>IF(COUNT(AD3:AD4)=0,"",SUM(AD3:AD4))</x:f>
      </x:c>
      <x:c r="AE5" s="47" t="str">
        <x:f>IF(COUNT(AE3:AE4)=0,"",SUM(AE3:AE4))</x:f>
      </x:c>
      <x:c r="AF5" s="47" t="str">
        <x:f>IF(COUNT(AF3:AF4)=0,"",SUM(AF3:AF4))</x:f>
      </x:c>
      <x:c r="AG5" s="47" t="str">
        <x:f>IF(COUNT(AG3:AG4)=0,"",SUM(AG3:AG4))</x:f>
      </x:c>
      <x:c r="AH5" s="47" t="str">
        <x:f>IF(COUNT(AH3:AH4)=0,"",SUM(AH3:AH4))</x:f>
      </x:c>
      <x:c r="AI5" s="47" t="str">
        <x:f>IF(COUNT(AI3:AI4)=0,"",SUM(AI3:AI4))</x:f>
      </x:c>
      <x:c r="AJ5" s="47" t="str">
        <x:f>IF(COUNT(AJ3:AJ4)=0,"",SUM(AJ3:AJ4))</x:f>
      </x:c>
      <x:c r="AK5" s="47" t="str">
        <x:f>IF(COUNT(AK3:AK4)=0,"",SUM(AK3:AK4))</x:f>
      </x:c>
      <x:c r="AL5" s="47" t="str">
        <x:f>IF(COUNT(AL3:AL4)=0,"",SUM(AL3:AL4))</x:f>
      </x:c>
      <x:c r="AM5" s="47" t="str">
        <x:f>IF(COUNT(AM3:AM4)=0,"",SUM(AM3:AM4))</x:f>
      </x:c>
      <x:c r="AN5" s="47" t="str">
        <x:f>IF(COUNT(AN3:AN4)=0,"",SUM(AN3:AN4))</x:f>
      </x:c>
      <x:c r="AO5" s="47" t="str">
        <x:f>IF(COUNT(AO3:AO4)=0,"",SUM(AO3:AO4))</x:f>
      </x:c>
      <x:c r="AP5" s="47" t="str">
        <x:f>IF(COUNT(AP3:AP4)=0,"",SUM(AP3:AP4))</x:f>
      </x:c>
      <x:c r="AQ5" s="47" t="str">
        <x:f>IF(COUNT(AQ3:AQ4)=0,"",SUM(AQ3:AQ4))</x:f>
      </x:c>
      <x:c r="AR5" s="47" t="str">
        <x:f>IF(COUNT(AR3:AR4)=0,"",SUM(AR3:AR4))</x:f>
      </x:c>
      <x:c r="AS5" s="47" t="str">
        <x:f>IF(COUNT(AS3:AS4)=0,"",SUM(AS3:AS4))</x:f>
      </x:c>
      <x:c r="AT5" s="47" t="str">
        <x:f>IF(COUNT(AT3:AT4)=0,"",SUM(AT3:AT4))</x:f>
      </x:c>
      <x:c r="AU5" s="47" t="str">
        <x:f>IF(COUNT(AU3:AU4)=0,"",SUM(AU3:AU4))</x:f>
      </x:c>
      <x:c r="AV5" s="47" t="str">
        <x:f>IF(COUNT(AV3:AV4)=0,"",SUM(AV3:AV4))</x:f>
      </x:c>
      <x:c r="AW5" s="47" t="str">
        <x:f>IF(COUNT(AW3:AW4)=0,"",SUM(AW3:AW4))</x:f>
      </x:c>
      <x:c r="AX5" s="47" t="str">
        <x:f>IF(COUNT(AX3:AX4)=0,"",SUM(AX3:AX4))</x:f>
      </x:c>
      <x:c r="AY5" s="47" t="str">
        <x:f>IF(COUNT(AY3:AY4)=0,"",SUM(AY3:AY4))</x:f>
      </x:c>
      <x:c r="AZ5" s="47" t="str">
        <x:f>IF(COUNT(AZ3:AZ4)=0,"",SUM(AZ3:AZ4))</x:f>
      </x:c>
      <x:c r="BA5" s="47" t="str">
        <x:f>IF(COUNT(BA3:BA4)=0,"",SUM(BA3:BA4))</x:f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 ht="34" customHeight="1">
      <x:c r="A1" s="27" t="str">
        <x:v>Month</x:v>
      </x:c>
      <x:c r="B1" s="28" t="str">
        <x:v>New Members</x:v>
      </x:c>
      <x:c r="C1" s="28" t="str">
        <x:v>New Student Members</x:v>
      </x:c>
      <x:c r="D1" s="28" t="str">
        <x:v>New Staff Members</x:v>
      </x:c>
      <x:c r="E1" s="28" t="str">
        <x:v>New Community Members</x:v>
      </x:c>
      <x:c r="F1" s="28" t="str">
        <x:v>Total Active</x:v>
      </x:c>
      <x:c r="G1" s="28" t="str">
        <x:v>Target</x:v>
      </x:c>
    </x:row>
    <x:row r="2" ht="23" customHeight="1">
      <x:c r="A2" s="16" t="str">
        <x:v>Jan</x:v>
      </x:c>
      <x:c r="B2" s="30" t="str">
        <x:f>IF(COUNT(C2:E2)=3,SUM(C2:E2),"")</x:f>
      </x:c>
      <x:c r="C2" s="42"/>
      <x:c r="D2" s="42"/>
      <x:c r="E2" s="42"/>
      <x:c r="F2" s="42"/>
      <x:c r="G2" s="42"/>
    </x:row>
    <x:row r="3" ht="23" customHeight="1">
      <x:c r="A3" s="16" t="str">
        <x:v>Feb</x:v>
      </x:c>
      <x:c r="B3" s="30" t="str">
        <x:f>IF(COUNT(C3:E3)=3,SUM(C3:E3),"")</x:f>
      </x:c>
      <x:c r="C3" s="42"/>
      <x:c r="D3" s="42"/>
      <x:c r="E3" s="42"/>
      <x:c r="F3" s="42"/>
      <x:c r="G3" s="42"/>
    </x:row>
    <x:row r="4" ht="23" customHeight="1">
      <x:c r="A4" s="16" t="str">
        <x:v>Mar</x:v>
      </x:c>
      <x:c r="B4" s="30" t="str">
        <x:f>IF(COUNT(C4:E4)=3,SUM(C4:E4),"")</x:f>
      </x:c>
      <x:c r="C4" s="42"/>
      <x:c r="D4" s="42"/>
      <x:c r="E4" s="42"/>
      <x:c r="F4" s="42"/>
      <x:c r="G4" s="42"/>
    </x:row>
    <x:row r="5" ht="23" customHeight="1">
      <x:c r="A5" s="16" t="str">
        <x:v>Apr</x:v>
      </x:c>
      <x:c r="B5" s="30" t="str">
        <x:f>IF(COUNT(C5:E5)=3,SUM(C5:E5),"")</x:f>
      </x:c>
      <x:c r="C5" s="42"/>
      <x:c r="D5" s="42"/>
      <x:c r="E5" s="42"/>
      <x:c r="F5" s="42"/>
      <x:c r="G5" s="42"/>
    </x:row>
    <x:row r="6" ht="23" customHeight="1">
      <x:c r="A6" s="16" t="str">
        <x:v>May</x:v>
      </x:c>
      <x:c r="B6" s="30" t="str">
        <x:f>IF(COUNT(C6:E6)=3,SUM(C6:E6),"")</x:f>
      </x:c>
      <x:c r="C6" s="42"/>
      <x:c r="D6" s="42"/>
      <x:c r="E6" s="42"/>
      <x:c r="F6" s="42"/>
      <x:c r="G6" s="42"/>
    </x:row>
    <x:row r="7" ht="23" customHeight="1">
      <x:c r="A7" s="16" t="str">
        <x:v>Jun</x:v>
      </x:c>
      <x:c r="B7" s="30" t="str">
        <x:f>IF(COUNT(C7:E7)=3,SUM(C7:E7),"")</x:f>
      </x:c>
      <x:c r="C7" s="42"/>
      <x:c r="D7" s="42"/>
      <x:c r="E7" s="42"/>
      <x:c r="F7" s="42"/>
      <x:c r="G7" s="42"/>
    </x:row>
    <x:row r="8" ht="23" customHeight="1">
      <x:c r="A8" s="16" t="str">
        <x:v>Jul</x:v>
      </x:c>
      <x:c r="B8" s="30" t="str">
        <x:f>IF(COUNT(C8:E8)=3,SUM(C8:E8),"")</x:f>
      </x:c>
      <x:c r="C8" s="42"/>
      <x:c r="D8" s="42"/>
      <x:c r="E8" s="42"/>
      <x:c r="F8" s="42"/>
      <x:c r="G8" s="42"/>
    </x:row>
    <x:row r="9" ht="23" customHeight="1">
      <x:c r="A9" s="16" t="str">
        <x:v>Aug</x:v>
      </x:c>
      <x:c r="B9" s="30" t="str">
        <x:f>IF(COUNT(C9:E9)=3,SUM(C9:E9),"")</x:f>
      </x:c>
      <x:c r="C9" s="42"/>
      <x:c r="D9" s="42"/>
      <x:c r="E9" s="42"/>
      <x:c r="F9" s="42"/>
      <x:c r="G9" s="42"/>
    </x:row>
    <x:row r="10" ht="23" customHeight="1">
      <x:c r="A10" s="16" t="str">
        <x:v>Sep</x:v>
      </x:c>
      <x:c r="B10" s="30" t="str">
        <x:f>IF(COUNT(C10:E10)=3,SUM(C10:E10),"")</x:f>
      </x:c>
      <x:c r="C10" s="42"/>
      <x:c r="D10" s="42"/>
      <x:c r="E10" s="42"/>
      <x:c r="F10" s="42"/>
      <x:c r="G10" s="42"/>
    </x:row>
    <x:row r="11" ht="23" customHeight="1">
      <x:c r="A11" s="16" t="str">
        <x:v>Oct</x:v>
      </x:c>
      <x:c r="B11" s="30" t="str">
        <x:f>IF(COUNT(C11:E11)=3,SUM(C11:E11),"")</x:f>
      </x:c>
      <x:c r="C11" s="42"/>
      <x:c r="D11" s="42"/>
      <x:c r="E11" s="42"/>
      <x:c r="F11" s="42"/>
      <x:c r="G11" s="42"/>
    </x:row>
    <x:row r="12" ht="23" customHeight="1">
      <x:c r="A12" s="16" t="str">
        <x:v>Nov</x:v>
      </x:c>
      <x:c r="B12" s="30" t="str">
        <x:f>IF(COUNT(C12:E12)=3,SUM(C12:E12),"")</x:f>
      </x:c>
      <x:c r="C12" s="42"/>
      <x:c r="D12" s="42"/>
      <x:c r="E12" s="42"/>
      <x:c r="F12" s="42"/>
      <x:c r="G12" s="42"/>
    </x:row>
    <x:row r="13" ht="23" customHeight="1">
      <x:c r="A13" s="16" t="str">
        <x:v>Dec</x:v>
      </x:c>
      <x:c r="B13" s="30" t="str">
        <x:f>IF(COUNT(C13:E13)=3,SUM(C13:E13),"")</x:f>
      </x:c>
      <x:c r="C13" s="42"/>
      <x:c r="D13" s="42"/>
      <x:c r="E13" s="42"/>
      <x:c r="F13" s="42"/>
      <x:c r="G13" s="4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4" customHeight="1">
      <x:c r="A1" s="27" t="str">
        <x:v>Month</x:v>
      </x:c>
      <x:c r="B1" s="28" t="str">
        <x:v>Students</x:v>
      </x:c>
      <x:c r="C1" s="28" t="str">
        <x:v>Staff</x:v>
      </x:c>
      <x:c r="D1" s="28" t="str">
        <x:v>Community</x:v>
      </x:c>
      <x:c r="E1" s="28" t="str">
        <x:v>Total Enrollments</x:v>
      </x:c>
      <x:c r="F1" s="28" t="str">
        <x:v>Target</x:v>
      </x:c>
    </x:row>
    <x:row r="2" ht="23" customHeight="1">
      <x:c r="A2" s="16" t="str">
        <x:v>Jan</x:v>
      </x:c>
      <x:c r="B2" s="42"/>
      <x:c r="C2" s="42"/>
      <x:c r="D2" s="42"/>
      <x:c r="E2" s="30" t="str">
        <x:f>IF(COUNT(B2:D2)=3,SUM(B2:D2),"")</x:f>
      </x:c>
      <x:c r="F2" s="42"/>
    </x:row>
    <x:row r="3" ht="23" customHeight="1">
      <x:c r="A3" s="16" t="str">
        <x:v>Feb</x:v>
      </x:c>
      <x:c r="B3" s="42"/>
      <x:c r="C3" s="42"/>
      <x:c r="D3" s="42"/>
      <x:c r="E3" s="30" t="str">
        <x:f>IF(COUNT(B3:D3)=3,SUM(B3:D3),"")</x:f>
      </x:c>
      <x:c r="F3" s="42"/>
    </x:row>
    <x:row r="4" ht="23" customHeight="1">
      <x:c r="A4" s="16" t="str">
        <x:v>Mar</x:v>
      </x:c>
      <x:c r="B4" s="42"/>
      <x:c r="C4" s="42"/>
      <x:c r="D4" s="42"/>
      <x:c r="E4" s="30" t="str">
        <x:f>IF(COUNT(B4:D4)=3,SUM(B4:D4),"")</x:f>
      </x:c>
      <x:c r="F4" s="42"/>
    </x:row>
    <x:row r="5" ht="23" customHeight="1">
      <x:c r="A5" s="16" t="str">
        <x:v>Apr</x:v>
      </x:c>
      <x:c r="B5" s="42"/>
      <x:c r="C5" s="42"/>
      <x:c r="D5" s="42"/>
      <x:c r="E5" s="30" t="str">
        <x:f>IF(COUNT(B5:D5)=3,SUM(B5:D5),"")</x:f>
      </x:c>
      <x:c r="F5" s="42"/>
    </x:row>
    <x:row r="6" ht="23" customHeight="1">
      <x:c r="A6" s="16" t="str">
        <x:v>May</x:v>
      </x:c>
      <x:c r="B6" s="42"/>
      <x:c r="C6" s="42"/>
      <x:c r="D6" s="42"/>
      <x:c r="E6" s="30" t="str">
        <x:f>IF(COUNT(B6:D6)=3,SUM(B6:D6),"")</x:f>
      </x:c>
      <x:c r="F6" s="42"/>
    </x:row>
    <x:row r="7" ht="23" customHeight="1">
      <x:c r="A7" s="16" t="str">
        <x:v>Jun</x:v>
      </x:c>
      <x:c r="B7" s="42"/>
      <x:c r="C7" s="42"/>
      <x:c r="D7" s="42"/>
      <x:c r="E7" s="30" t="str">
        <x:f>IF(COUNT(B7:D7)=3,SUM(B7:D7),"")</x:f>
      </x:c>
      <x:c r="F7" s="42"/>
    </x:row>
    <x:row r="8" ht="23" customHeight="1">
      <x:c r="A8" s="16" t="str">
        <x:v>Jul</x:v>
      </x:c>
      <x:c r="B8" s="42"/>
      <x:c r="C8" s="42"/>
      <x:c r="D8" s="42"/>
      <x:c r="E8" s="30" t="str">
        <x:f>IF(COUNT(B8:D8)=3,SUM(B8:D8),"")</x:f>
      </x:c>
      <x:c r="F8" s="42"/>
    </x:row>
    <x:row r="9" ht="23" customHeight="1">
      <x:c r="A9" s="16" t="str">
        <x:v>Aug</x:v>
      </x:c>
      <x:c r="B9" s="42"/>
      <x:c r="C9" s="42"/>
      <x:c r="D9" s="42"/>
      <x:c r="E9" s="30" t="str">
        <x:f>IF(COUNT(B9:D9)=3,SUM(B9:D9),"")</x:f>
      </x:c>
      <x:c r="F9" s="42"/>
    </x:row>
    <x:row r="10" ht="23" customHeight="1">
      <x:c r="A10" s="16" t="str">
        <x:v>Sep</x:v>
      </x:c>
      <x:c r="B10" s="42"/>
      <x:c r="C10" s="42"/>
      <x:c r="D10" s="42"/>
      <x:c r="E10" s="30" t="str">
        <x:f>IF(COUNT(B10:D10)=3,SUM(B10:D10),"")</x:f>
      </x:c>
      <x:c r="F10" s="42"/>
    </x:row>
    <x:row r="11" ht="23" customHeight="1">
      <x:c r="A11" s="16" t="str">
        <x:v>Oct</x:v>
      </x:c>
      <x:c r="B11" s="42"/>
      <x:c r="C11" s="42"/>
      <x:c r="D11" s="42"/>
      <x:c r="E11" s="30" t="str">
        <x:f>IF(COUNT(B11:D11)=3,SUM(B11:D11),"")</x:f>
      </x:c>
      <x:c r="F11" s="42"/>
    </x:row>
    <x:row r="12" ht="23" customHeight="1">
      <x:c r="A12" s="16" t="str">
        <x:v>Nov</x:v>
      </x:c>
      <x:c r="B12" s="42"/>
      <x:c r="C12" s="42"/>
      <x:c r="D12" s="42"/>
      <x:c r="E12" s="30" t="str">
        <x:f>IF(COUNT(B12:D12)=3,SUM(B12:D12),"")</x:f>
      </x:c>
      <x:c r="F12" s="42"/>
    </x:row>
    <x:row r="13" ht="23" customHeight="1">
      <x:c r="A13" s="16" t="str">
        <x:v>Dec</x:v>
      </x:c>
      <x:c r="B13" s="42"/>
      <x:c r="C13" s="42"/>
      <x:c r="D13" s="42"/>
      <x:c r="E13" s="30" t="str">
        <x:f>IF(COUNT(B13:D13)=3,SUM(B13:D13),"")</x:f>
      </x:c>
      <x:c r="F13" s="42"/>
    </x:row>
  </x:sheetData>
  <x:pageMargins left="0.7" right="0.7" top="0.75" bottom="0.75" header="0.3" footer="0.3"/>
</x:worksheet>
</file>