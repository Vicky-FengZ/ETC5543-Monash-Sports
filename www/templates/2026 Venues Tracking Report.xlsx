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3f0e891fa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lp Sheet" sheetId="1" r:id="R0fc59a7eea3147a8"/>
    <x:sheet xmlns:r="http://schemas.openxmlformats.org/officeDocument/2006/relationships" name="MTD - Venues Finance" sheetId="2" r:id="Ra4241be631334283"/>
    <x:sheet xmlns:r="http://schemas.openxmlformats.org/officeDocument/2006/relationships" name="Facility Attendance" sheetId="3" r:id="Reb5cf2e0c1044546"/>
    <x:sheet xmlns:r="http://schemas.openxmlformats.org/officeDocument/2006/relationships" name="Facility Hire Tracking" sheetId="4" r:id="R6a8b79b1f12248b6"/>
    <x:sheet xmlns:r="http://schemas.openxmlformats.org/officeDocument/2006/relationships" name="Membership Tracking" sheetId="5" r:id="R2cfde8d18ad94a28"/>
    <x:sheet xmlns:r="http://schemas.openxmlformats.org/officeDocument/2006/relationships" name="Online Sales" sheetId="6" r:id="R0537e77150ba4b9e"/>
    <x:sheet xmlns:r="http://schemas.openxmlformats.org/officeDocument/2006/relationships" name="Merchandise Tracking" sheetId="7" r:id="R0cbb32d665274a27"/>
    <x:sheet xmlns:r="http://schemas.openxmlformats.org/officeDocument/2006/relationships" name="Casual Hours" sheetId="8" r:id="Rdb9b326e6849409e"/>
    <x:sheet xmlns:r="http://schemas.openxmlformats.org/officeDocument/2006/relationships" name="Casual Wages" sheetId="9" r:id="R07517c7a49bf4871"/>
    <x:sheet xmlns:r="http://schemas.openxmlformats.org/officeDocument/2006/relationships" name="Court Hire" sheetId="10" r:id="R1826fa11d3a9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(#,##0.00);&quot;-&quot;"/>
    <x:numFmt numFmtId="201" formatCode="General"/>
    <x:numFmt numFmtId="202" formatCode="0"/>
    <x:numFmt numFmtId="203" formatCode="@"/>
    <x:numFmt numFmtId="204" formatCode="#,##0"/>
    <x:numFmt numFmtId="205" formatCode="0.0%"/>
  </x:numFmts>
  <x:fonts count="10">
    <x:font>
      <x:sz val="11"/>
      <x:name val="Carlito"/>
    </x:font>
    <x:font>
      <x:sz val="11"/>
      <x:color rgb="FF334155"/>
      <x:name val="Arial"/>
    </x:font>
    <x:font>
      <x:b/>
      <x:sz val="16"/>
      <x:color rgb="FF233D55"/>
      <x:name val="Arial"/>
    </x:font>
    <x:font>
      <x:sz val="11"/>
      <x:color rgb="FF0000FF"/>
      <x:name val="Arial"/>
    </x:font>
    <x:font>
      <x:b/>
      <x:sz val="11"/>
      <x:color rgb="FF334155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33D55"/>
      </x:patternFill>
    </x:fill>
    <x:fill>
      <x:patternFill patternType="solid">
        <x:fgColor rgb="FFEDF2F7"/>
      </x:patternFill>
    </x:fill>
    <x:fill>
      <x:patternFill patternType="solid">
        <x:fgColor rgb="FFF8FAF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3D55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left" vertical="center"/>
    </x:xf>
    <x:xf numFmtId="201" fontId="3" fillId="2" borderId="0" xfId="0" applyNumberFormat="1" applyFont="1" applyFill="1" applyBorder="1" applyAlignment="1">
      <x:alignment horizontal="left" vertical="center"/>
    </x:xf>
    <x:xf numFmtId="202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4" fillId="4" borderId="2" xfId="0" applyNumberFormat="1" applyFont="1" applyFill="1" applyBorder="1" applyAlignment="1">
      <x:alignment vertical="center"/>
    </x:xf>
    <x:xf numFmtId="200" fontId="7" fillId="5" borderId="2" xfId="0" applyNumberFormat="1" applyFont="1" applyFill="1" applyBorder="1" applyAlignment="1">
      <x:alignment horizontal="right" vertical="center"/>
    </x:xf>
    <x:xf numFmtId="204" fontId="3" fillId="2" borderId="0" xfId="0" applyNumberFormat="1" applyFont="1" applyFill="1" applyBorder="1" applyAlignment="1">
      <x:alignment horizontal="right" vertical="center"/>
    </x:xf>
    <x:xf numFmtId="204" fontId="5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right" vertical="center"/>
    </x:xf>
    <x:xf numFmtId="204" fontId="6" fillId="5" borderId="0" xfId="0" applyNumberFormat="1" applyFont="1" applyFill="1" applyBorder="1" applyAlignment="1">
      <x:alignment horizontal="right" vertical="center"/>
    </x:xf>
    <x:xf numFmtId="204" fontId="7" fillId="5" borderId="0" xfId="0" applyNumberFormat="1" applyFont="1" applyFill="1" applyBorder="1" applyAlignment="1">
      <x:alignment horizontal="right" vertical="center"/>
    </x:xf>
    <x:xf numFmtId="204" fontId="7" fillId="5" borderId="2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4" fontId="5" fillId="3" borderId="0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horizontal="center" vertical="center" wrapText="1"/>
    </x:xf>
    <x:xf numFmtId="200" fontId="9" fillId="5" borderId="0" xfId="0" applyNumberFormat="1" applyFont="1" applyFill="1" applyBorder="1" applyAlignment="1">
      <x:alignment horizontal="center" vertical="center" wrapText="1"/>
    </x:xf>
    <x:xf numFmtId="202" fontId="9" fillId="5" borderId="0" xfId="0" applyNumberFormat="1" applyFont="1" applyFill="1" applyBorder="1" applyAlignment="1">
      <x:alignment horizontal="center" vertical="center" wrapText="1"/>
    </x:xf>
    <x:xf numFmtId="205" fontId="6" fillId="5" borderId="0" xfId="0" applyNumberFormat="1" applyFont="1" applyFill="1" applyBorder="1" applyAlignment="1">
      <x:alignment horizontal="right" vertical="center"/>
    </x:xf>
    <x:xf numFmtId="205" fontId="7" fillId="5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e12251a454498" /><Relationship Type="http://schemas.openxmlformats.org/officeDocument/2006/relationships/theme" Target="/xl/theme/theme1.xml" Id="R2a54aba56f254834" /><Relationship Type="http://schemas.openxmlformats.org/officeDocument/2006/relationships/sharedStrings" Target="/xl/sharedStrings.xml" Id="R84fe66a4de374135" /><Relationship Type="http://schemas.openxmlformats.org/officeDocument/2006/relationships/worksheet" Target="/xl/worksheets/sheet1.xml" Id="R0fc59a7eea3147a8" /><Relationship Type="http://schemas.openxmlformats.org/officeDocument/2006/relationships/worksheet" Target="/xl/worksheets/sheet2.xml" Id="Ra4241be631334283" /><Relationship Type="http://schemas.openxmlformats.org/officeDocument/2006/relationships/worksheet" Target="/xl/worksheets/sheet3.xml" Id="Reb5cf2e0c1044546" /><Relationship Type="http://schemas.openxmlformats.org/officeDocument/2006/relationships/worksheet" Target="/xl/worksheets/sheet4.xml" Id="R6a8b79b1f12248b6" /><Relationship Type="http://schemas.openxmlformats.org/officeDocument/2006/relationships/worksheet" Target="/xl/worksheets/sheet5.xml" Id="R2cfde8d18ad94a28" /><Relationship Type="http://schemas.openxmlformats.org/officeDocument/2006/relationships/worksheet" Target="/xl/worksheets/sheet6.xml" Id="R0537e77150ba4b9e" /><Relationship Type="http://schemas.openxmlformats.org/officeDocument/2006/relationships/worksheet" Target="/xl/worksheets/sheet7.xml" Id="R0cbb32d665274a27" /><Relationship Type="http://schemas.openxmlformats.org/officeDocument/2006/relationships/worksheet" Target="/xl/worksheets/sheet8.xml" Id="Rdb9b326e6849409e" /><Relationship Type="http://schemas.openxmlformats.org/officeDocument/2006/relationships/worksheet" Target="/xl/worksheets/sheet9.xml" Id="R07517c7a49bf4871" /><Relationship Type="http://schemas.openxmlformats.org/officeDocument/2006/relationships/worksheet" Target="/xl/worksheets/sheet10.xml" Id="R1826fa11d3a9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6"/>
      <x:c r="B1" s="7"/>
      <x:c r="C1" s="7"/>
      <x:c r="D1" s="7"/>
      <x:c r="E1" s="7"/>
      <x:c r="F1" s="7"/>
      <x:c r="G1" s="7"/>
      <x:c r="H1" s="7"/>
    </x:row>
    <x:row r="2" ht="23" customHeight="1">
      <x:c r="A2" s="8" t="str">
        <x:v>Venues Tracking Report template</x:v>
      </x:c>
      <x:c r="B2" s="7"/>
      <x:c r="C2" s="7"/>
      <x:c r="D2" s="7"/>
      <x:c r="E2" s="7"/>
      <x:c r="F2" s="7"/>
      <x:c r="G2" s="7"/>
      <x:c r="H2" s="7"/>
    </x:row>
    <x:row r="3" ht="23" customHeight="1">
      <x:c r="A3" s="9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7"/>
      <x:c r="C4" s="7"/>
      <x:c r="D4" s="7"/>
      <x:c r="E4" s="7"/>
      <x:c r="F4" s="7"/>
      <x:c r="G4" s="7"/>
      <x:c r="H4" s="7"/>
    </x:row>
    <x:row r="5" ht="23" customHeight="1">
      <x:c r="A5" s="6" t="str">
        <x:v>Reporting year</x:v>
      </x:c>
      <x:c r="B5" s="13" t="n">
        <x:v>2026</x:v>
      </x:c>
      <x:c r="C5" s="7"/>
      <x:c r="D5" s="7"/>
      <x:c r="E5" s="7"/>
      <x:c r="F5" s="7"/>
      <x:c r="G5" s="7"/>
      <x:c r="H5" s="7"/>
    </x:row>
    <x:row r="6" ht="23" customHeight="1">
      <x:c r="A6" s="6"/>
      <x:c r="B6" s="7"/>
      <x:c r="C6" s="7"/>
      <x:c r="D6" s="7"/>
      <x:c r="E6" s="7"/>
      <x:c r="F6" s="7"/>
      <x:c r="G6" s="7"/>
      <x:c r="H6" s="7"/>
    </x:row>
    <x:row r="7" ht="43" customHeight="1">
      <x:c r="A7" s="14" t="str">
        <x:v>Save As</x:v>
      </x:c>
      <x:c r="B7" s="15" t="str">
        <x:v>&lt;year&gt; Venues Tracking Report.xlsx</x:v>
      </x:c>
      <x:c r="C7" s="15"/>
      <x:c r="D7" s="15"/>
      <x:c r="E7" s="15"/>
      <x:c r="F7" s="15"/>
      <x:c r="G7" s="15"/>
      <x:c r="H7" s="15"/>
    </x:row>
    <x:row r="8" ht="43" customHeight="1">
      <x:c r="A8" s="14" t="str">
        <x:v>Amber cells</x:v>
      </x:c>
      <x:c r="B8" s="15" t="str">
        <x:v>Enter your reported values or replace an example activity/item label.</x:v>
      </x:c>
      <x:c r="C8" s="15"/>
      <x:c r="D8" s="15"/>
      <x:c r="E8" s="15"/>
      <x:c r="F8" s="15"/>
      <x:c r="G8" s="15"/>
      <x:c r="H8" s="15"/>
    </x:row>
    <x:row r="9" ht="43" customHeight="1">
      <x:c r="A9" s="14" t="str">
        <x:v>Dark / grey headings</x:v>
      </x:c>
      <x:c r="B9" s="15" t="str">
        <x:v>Keep the required titles, month labels and table structure.</x:v>
      </x:c>
      <x:c r="C9" s="15"/>
      <x:c r="D9" s="15"/>
      <x:c r="E9" s="15"/>
      <x:c r="F9" s="15"/>
      <x:c r="G9" s="15"/>
      <x:c r="H9" s="15"/>
    </x:row>
    <x:row r="10" ht="43" customHeight="1">
      <x:c r="A10" s="14" t="str">
        <x:v>Calculated cells</x:v>
      </x:c>
      <x:c r="B10" s="15" t="str">
        <x:v>Keep formulas. After adding rows/columns, extend affected totals and save in Excel.</x:v>
      </x:c>
      <x:c r="C10" s="15"/>
      <x:c r="D10" s="15"/>
      <x:c r="E10" s="15"/>
      <x:c r="F10" s="15"/>
      <x:c r="G10" s="15"/>
      <x:c r="H10" s="15"/>
    </x:row>
    <x:row r="11" ht="43" customHeight="1">
      <x:c r="A11" s="14" t="str">
        <x:v>Blank and zero</x:v>
      </x:c>
      <x:c r="B11" s="15" t="str">
        <x:v>Blank means unreported. Enter 0 only for a confirmed zero. Start with a copy of this blank template.</x:v>
      </x:c>
      <x:c r="C11" s="15"/>
      <x:c r="D11" s="15"/>
      <x:c r="E11" s="15"/>
      <x:c r="F11" s="15"/>
      <x:c r="G11" s="15"/>
      <x:c r="H11" s="15"/>
    </x:row>
    <x:row r="12" ht="43" customHeight="1">
      <x:c r="A12" s="14" t="str">
        <x:v>Required structure</x:v>
      </x:c>
      <x:c r="B12" s="15" t="str">
        <x:v>Keep all supplied worksheet names. MTD - Venues Finance is required; other sheets provide operational data.</x:v>
      </x:c>
      <x:c r="C12" s="15"/>
      <x:c r="D12" s="15"/>
      <x:c r="E12" s="15"/>
      <x:c r="F12" s="15"/>
      <x:c r="G12" s="15"/>
      <x:c r="H12" s="15"/>
    </x:row>
    <x:row r="13" ht="43" customHeight="1">
      <x:c r="A13" s="14" t="str">
        <x:v>Finance blocks</x:v>
      </x:c>
      <x:c r="B13" s="15" t="str">
        <x:v>Keep each month, Funds, Income, Expenses, Profit/Loss, MTD Total and YTD Total. Keep the seven measures in their order.</x:v>
      </x:c>
      <x:c r="C13" s="15"/>
      <x:c r="D13" s="15"/>
      <x:c r="E13" s="15"/>
      <x:c r="F13" s="15"/>
      <x:c r="G13" s="15"/>
      <x:c r="H13" s="15"/>
    </x:row>
    <x:row r="14" ht="43" customHeight="1">
      <x:c r="A14" s="14" t="str">
        <x:v>Add funds / categories</x:v>
      </x:c>
      <x:c r="B14" s="15" t="str">
        <x:v>Insert fund rows before MTD Total, or item/category rows before their Total. Extend the affected formulas.</x:v>
      </x:c>
      <x:c r="C14" s="15"/>
      <x:c r="D14" s="15"/>
      <x:c r="E14" s="15"/>
      <x:c r="F14" s="15"/>
      <x:c r="G14" s="15"/>
      <x:c r="H14" s="15"/>
    </x:row>
    <x:row r="15" ht="43" customHeight="1">
      <x:c r="A15" s="14" t="str">
        <x:v>Add indicators</x:v>
      </x:c>
      <x:c r="B15" s="15" t="str">
        <x:v>Membership Tracking and Merchandise Tracking accept new labelled metrics within repeated month and Total/YTD blocks.</x:v>
      </x:c>
      <x:c r="C15" s="15"/>
      <x:c r="D15" s="15"/>
      <x:c r="E15" s="15"/>
      <x:c r="F15" s="15"/>
      <x:c r="G15" s="15"/>
      <x:c r="H15" s="15"/>
    </x:row>
    <x:row r="16" ht="43" customHeight="1">
      <x:c r="A16" s="14" t="str">
        <x:v>Attendance / hire</x:v>
      </x:c>
      <x:c r="B16" s="15" t="str">
        <x:v>Keep month positions and Revenue / # Transactions pairs. New attendance sections need their own Total and an updated Overall Total.</x:v>
      </x:c>
      <x:c r="C16" s="15"/>
      <x:c r="D16" s="15"/>
      <x:c r="E16" s="15"/>
      <x:c r="F16" s="15"/>
      <x:c r="G16" s="15"/>
      <x:c r="H16" s="15"/>
    </x:row>
    <x:row r="17" ht="43" customHeight="1">
      <x:c r="A17" s="14" t="str">
        <x:v>Casual Hours</x:v>
      </x:c>
      <x:c r="B17" s="15" t="str">
        <x:v>Only Summary / Budgeted Hours / Hours Paid / Variance is imported. No staff-level pay-period detail is included.</x:v>
      </x:c>
      <x:c r="C17" s="15"/>
      <x:c r="D17" s="15"/>
      <x:c r="E17" s="15"/>
      <x:c r="F17" s="15"/>
      <x:c r="G17" s="15"/>
      <x:c r="H17" s="15"/>
    </x:row>
    <x:row r="18" ht="43" customHeight="1">
      <x:c r="A18" s="14" t="str">
        <x:v>Casual Wages / Court Hire</x:v>
      </x:c>
      <x:c r="B18" s="15" t="str">
        <x:v>Reporting year updates the Casual Salaries title and Court Hire year headers. The filename must use that same year.</x:v>
      </x:c>
      <x:c r="C18" s="15"/>
      <x:c r="D18" s="15"/>
      <x:c r="E18" s="15"/>
      <x:c r="F18" s="15"/>
      <x:c r="G18" s="15"/>
      <x:c r="H18" s="15"/>
    </x:row>
    <x:row r="19" ht="43" customHeight="1">
      <x:c r="A19" s="14" t="str">
        <x:v>Stock versus flow</x:v>
      </x:c>
      <x:c r="B19" s="15" t="str">
        <x:v>Membership Active uses the last month in Total. New/Renewed/Total are additive sales counts. Do not sum active membership stocks.</x:v>
      </x:c>
      <x:c r="C19" s="15"/>
      <x:c r="D19" s="15"/>
      <x:c r="E19" s="15"/>
      <x:c r="F19" s="15"/>
      <x:c r="G19" s="15"/>
      <x:c r="H19" s="15"/>
    </x:row>
    <x:row r="20" ht="43" customHeight="1">
      <x:c r="A20" s="14" t="str">
        <x:v>Before uploading</x:v>
      </x:c>
      <x:c r="B20" s="15" t="str">
        <x:v>Use the matching year in the filename and Reporting year above. Save after Excel recalculates.</x:v>
      </x:c>
      <x:c r="C20" s="15"/>
      <x:c r="D20" s="15"/>
      <x:c r="E20" s="15"/>
      <x:c r="F20" s="15"/>
      <x:c r="G20" s="15"/>
      <x:c r="H20" s="15"/>
    </x:row>
    <x:row r="21" ht="43" customHeight="1">
      <x:c r="A21" s="14" t="str">
        <x:v>New indicators</x:v>
      </x:c>
      <x:c r="B21" s="15" t="str">
        <x:v>New numeric indicators are retained in supported layouts. They do not automatically become chart or forecast targets.</x:v>
      </x:c>
      <x:c r="C21" s="15"/>
      <x:c r="D21" s="15"/>
      <x:c r="E21" s="15"/>
      <x:c r="F21" s="15"/>
      <x:c r="G21" s="15"/>
      <x:c r="H21" s="15"/>
    </x:row>
    <x:row r="22" ht="43" customHeight="1">
      <x:c r="A22" s="14" t="str">
        <x:v>Other layouts</x:v>
      </x:c>
      <x:c r="B22" s="15" t="str">
        <x:v>Keep worksheet names and the documented block layout. A new worksheet or changed layout needs an extraction rule.</x:v>
      </x:c>
      <x:c r="C22" s="15"/>
      <x:c r="D22" s="15"/>
      <x:c r="E22" s="15"/>
      <x:c r="F22" s="15"/>
      <x:c r="G22" s="15"/>
      <x:c r="H22" s="15"/>
    </x:row>
    <x:row r="23" ht="43" customHeight="1">
      <x:c r="A23" s="14" t="str">
        <x:v>Layout source</x:v>
      </x:c>
      <x:c r="B23" s="15" t="str">
        <x:v>Monash Sport report layouts supplied with this project. No original business figures are included.</x:v>
      </x:c>
      <x:c r="C23" s="15"/>
      <x:c r="D23" s="15"/>
      <x:c r="E23" s="15"/>
      <x:c r="F23" s="15"/>
      <x:c r="G23" s="15"/>
      <x:c r="H23" s="15"/>
    </x:row>
    <x:row r="24" ht="23" customHeight="1">
      <x:c r="A24" s="6"/>
      <x:c r="B24" s="7"/>
      <x:c r="C24" s="7"/>
      <x:c r="D24" s="7"/>
      <x:c r="E24" s="7"/>
      <x:c r="F24" s="7"/>
      <x:c r="G24" s="7"/>
      <x:c r="H24" s="7"/>
    </x:row>
    <x:row r="25" ht="23" customHeight="1">
      <x:c r="A25" s="6"/>
      <x:c r="B25" s="7"/>
      <x:c r="C25" s="7"/>
      <x:c r="D25" s="7"/>
      <x:c r="E25" s="7"/>
      <x:c r="F25" s="7"/>
      <x:c r="G25" s="7"/>
      <x:c r="H25" s="7"/>
    </x:row>
    <x:row r="26" ht="23" customHeight="1">
      <x:c r="A26" s="6"/>
      <x:c r="B26" s="7"/>
      <x:c r="C26" s="7"/>
      <x:c r="D26" s="7"/>
      <x:c r="E26" s="7"/>
      <x:c r="F26" s="7"/>
      <x:c r="G26" s="7"/>
      <x:c r="H26" s="7"/>
    </x:row>
    <x:row r="27" ht="23" customHeight="1">
      <x:c r="A27" s="6"/>
      <x:c r="B27" s="7"/>
      <x:c r="C27" s="7"/>
      <x:c r="D27" s="7"/>
      <x:c r="E27" s="7"/>
      <x:c r="F27" s="7"/>
      <x:c r="G27" s="7"/>
      <x:c r="H27" s="7"/>
    </x:row>
    <x:row r="28" ht="23" customHeight="1">
      <x:c r="A28" s="6"/>
      <x:c r="B28" s="7"/>
      <x:c r="C28" s="7"/>
      <x:c r="D28" s="7"/>
      <x:c r="E28" s="7"/>
      <x:c r="F28" s="7"/>
      <x:c r="G28" s="7"/>
      <x:c r="H28" s="7"/>
    </x:row>
    <x:row r="29" ht="23" customHeight="1">
      <x:c r="A29" s="6"/>
      <x:c r="B29" s="7"/>
      <x:c r="C29" s="7"/>
      <x:c r="D29" s="7"/>
      <x:c r="E29" s="7"/>
      <x:c r="F29" s="7"/>
      <x:c r="G29" s="7"/>
      <x:c r="H29" s="7"/>
    </x:row>
    <x:row r="30" ht="23" customHeight="1">
      <x:c r="A30" s="6"/>
      <x:c r="B30" s="7"/>
      <x:c r="C30" s="7"/>
      <x:c r="D30" s="7"/>
      <x:c r="E30" s="7"/>
      <x:c r="F30" s="7"/>
      <x:c r="G30" s="7"/>
      <x:c r="H30" s="7"/>
    </x:row>
    <x:row r="31" ht="23" customHeight="1">
      <x:c r="A31" s="6"/>
      <x:c r="B31" s="7"/>
      <x:c r="C31" s="7"/>
      <x:c r="D31" s="7"/>
      <x:c r="E31" s="7"/>
      <x:c r="F31" s="7"/>
      <x:c r="G31" s="7"/>
      <x:c r="H31" s="7"/>
    </x:row>
    <x:row r="32" ht="23" customHeight="1">
      <x:c r="A32" s="6"/>
      <x:c r="B32" s="7"/>
      <x:c r="C32" s="7"/>
      <x:c r="D32" s="7"/>
      <x:c r="E32" s="7"/>
      <x:c r="F32" s="7"/>
      <x:c r="G32" s="7"/>
      <x:c r="H32" s="7"/>
    </x:row>
  </x:sheetData>
  <x:mergeCells>
    <x:mergeCell ref="A2:H2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</x:mergeCells>
  <x:dataValidations count="1">
    <x:dataValidation type="whole" operator="between" sqref="B5">
      <x:formula1>1900</x:formula1>
      <x:formula2>2099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2" t="str">
        <x:v>Jan</x:v>
      </x:c>
      <x:c r="B1" s="23" t="str">
        <x:v>Income</x:v>
      </x:c>
      <x:c r="C1" s="23"/>
      <x:c r="D1" s="23"/>
      <x:c r="E1" s="23" t="str">
        <x:v>Expenses</x:v>
      </x:c>
      <x:c r="F1" s="23"/>
      <x:c r="G1" s="23"/>
      <x:c r="H1" s="23" t="str">
        <x:v>Profit/Loss</x:v>
      </x:c>
    </x:row>
    <x:row r="2" ht="34" customHeight="1">
      <x:c r="A2" s="22" t="str">
        <x:v>Funds</x:v>
      </x:c>
      <x:c r="B2" s="23" t="str">
        <x:v>Budget</x:v>
      </x:c>
      <x:c r="C2" s="23" t="str">
        <x:v>Actual</x:v>
      </x:c>
      <x:c r="D2" s="23" t="str">
        <x:v>Variance</x:v>
      </x:c>
      <x:c r="E2" s="23" t="str">
        <x:v>Budget</x:v>
      </x:c>
      <x:c r="F2" s="23" t="str">
        <x:v>Actual</x:v>
      </x:c>
      <x:c r="G2" s="23" t="str">
        <x:v>Variance</x:v>
      </x:c>
      <x:c r="H2" s="23" t="str">
        <x:v>Net Variance</x:v>
      </x:c>
    </x:row>
    <x:row r="3" ht="23" customHeight="1">
      <x:c r="A3" s="27" t="str">
        <x:v>Fund 1</x:v>
      </x:c>
      <x:c r="B3" s="29"/>
      <x:c r="C3" s="29"/>
      <x:c r="D3" s="31" t="str">
        <x:f>IF(COUNT(C3,B3)=2,C3-B3,"")</x:f>
      </x:c>
      <x:c r="E3" s="29"/>
      <x:c r="F3" s="29"/>
      <x:c r="G3" s="31" t="str">
        <x:f>IF(COUNT(F3,E3)=2,F3-E3,"")</x:f>
      </x:c>
      <x:c r="H3" s="31" t="str">
        <x:f>IF(COUNT(D3,G3)=2,D3-G3,"")</x:f>
      </x:c>
    </x:row>
    <x:row r="4" ht="23" customHeight="1">
      <x:c r="A4" s="34" t="str">
        <x:v>MTD Total</x:v>
      </x:c>
      <x:c r="B4" s="35" t="str">
        <x:f>IF(ISNUMBER(B3),B3,"")</x:f>
      </x:c>
      <x:c r="C4" s="35" t="str">
        <x:f>IF(ISNUMBER(C3),C3,"")</x:f>
      </x:c>
      <x:c r="D4" s="35" t="str">
        <x:f>IF(COUNT(C4,B4)=2,C4-B4,"")</x:f>
      </x:c>
      <x:c r="E4" s="35" t="str">
        <x:f>IF(ISNUMBER(E3),E3,"")</x:f>
      </x:c>
      <x:c r="F4" s="35" t="str">
        <x:f>IF(ISNUMBER(F3),F3,"")</x:f>
      </x:c>
      <x:c r="G4" s="35" t="str">
        <x:f>IF(COUNT(F4,E4)=2,F4-E4,"")</x:f>
      </x:c>
      <x:c r="H4" s="35" t="str">
        <x:f>IF(COUNT(D4,G4)=2,D4-G4,"")</x:f>
      </x:c>
    </x:row>
    <x:row r="5" ht="23" customHeight="1">
      <x:c r="A5" s="34" t="str">
        <x:v>YTD Total</x:v>
      </x:c>
      <x:c r="B5" s="35" t="str">
        <x:f>IF(COUNT(B4)=0,"",SUM(B4))</x:f>
      </x:c>
      <x:c r="C5" s="35" t="str">
        <x:f>IF(COUNT(C4)=0,"",SUM(C4))</x:f>
      </x:c>
      <x:c r="D5" s="35" t="str">
        <x:f>IF(COUNT(C5,B5)=2,C5-B5,"")</x:f>
      </x:c>
      <x:c r="E5" s="35" t="str">
        <x:f>IF(COUNT(E4)=0,"",SUM(E4))</x:f>
      </x:c>
      <x:c r="F5" s="35" t="str">
        <x:f>IF(COUNT(F4)=0,"",SUM(F4))</x:f>
      </x:c>
      <x:c r="G5" s="35" t="str">
        <x:f>IF(COUNT(F5,E5)=2,F5-E5,"")</x:f>
      </x:c>
      <x:c r="H5" s="35" t="str">
        <x:f>IF(COUNT(D5,G5)=2,D5-G5,"")</x:f>
      </x:c>
    </x:row>
    <x:row r="6" ht="23" customHeight="1">
      <x:c r="A6" s="2"/>
      <x:c r="B6" s="4"/>
      <x:c r="C6" s="4"/>
      <x:c r="D6" s="4"/>
      <x:c r="E6" s="4"/>
      <x:c r="F6" s="4"/>
      <x:c r="G6" s="4"/>
      <x:c r="H6" s="4"/>
    </x:row>
    <x:row r="7" ht="23" customHeight="1">
      <x:c r="A7" s="2"/>
      <x:c r="B7" s="4"/>
      <x:c r="C7" s="4"/>
      <x:c r="D7" s="4"/>
      <x:c r="E7" s="4"/>
      <x:c r="F7" s="4"/>
      <x:c r="G7" s="4"/>
      <x:c r="H7" s="4"/>
    </x:row>
    <x:row r="8" ht="34" customHeight="1">
      <x:c r="A8" s="22" t="str">
        <x:v>Feb</x:v>
      </x:c>
      <x:c r="B8" s="23" t="str">
        <x:v>Income</x:v>
      </x:c>
      <x:c r="C8" s="23"/>
      <x:c r="D8" s="23"/>
      <x:c r="E8" s="23" t="str">
        <x:v>Expenses</x:v>
      </x:c>
      <x:c r="F8" s="23"/>
      <x:c r="G8" s="23"/>
      <x:c r="H8" s="23" t="str">
        <x:v>Profit/Loss</x:v>
      </x:c>
    </x:row>
    <x:row r="9" ht="34" customHeight="1">
      <x:c r="A9" s="22" t="str">
        <x:v>Funds</x:v>
      </x:c>
      <x:c r="B9" s="23" t="str">
        <x:v>Budget</x:v>
      </x:c>
      <x:c r="C9" s="23" t="str">
        <x:v>Actual</x:v>
      </x:c>
      <x:c r="D9" s="23" t="str">
        <x:v>Variance</x:v>
      </x:c>
      <x:c r="E9" s="23" t="str">
        <x:v>Budget</x:v>
      </x:c>
      <x:c r="F9" s="23" t="str">
        <x:v>Actual</x:v>
      </x:c>
      <x:c r="G9" s="23" t="str">
        <x:v>Variance</x:v>
      </x:c>
      <x:c r="H9" s="23" t="str">
        <x:v>Net Variance</x:v>
      </x:c>
    </x:row>
    <x:row r="10" ht="23" customHeight="1">
      <x:c r="A10" s="27" t="str">
        <x:v>Fund 1</x:v>
      </x:c>
      <x:c r="B10" s="29"/>
      <x:c r="C10" s="29"/>
      <x:c r="D10" s="31" t="str">
        <x:f>IF(COUNT(C10,B10)=2,C10-B10,"")</x:f>
      </x:c>
      <x:c r="E10" s="29"/>
      <x:c r="F10" s="29"/>
      <x:c r="G10" s="31" t="str">
        <x:f>IF(COUNT(F10,E10)=2,F10-E10,"")</x:f>
      </x:c>
      <x:c r="H10" s="31" t="str">
        <x:f>IF(COUNT(D10,G10)=2,D10-G10,"")</x:f>
      </x:c>
    </x:row>
    <x:row r="11" ht="23" customHeight="1">
      <x:c r="A11" s="34" t="str">
        <x:v>MTD Total</x:v>
      </x:c>
      <x:c r="B11" s="35" t="str">
        <x:f>IF(ISNUMBER(B10),B10,"")</x:f>
      </x:c>
      <x:c r="C11" s="35" t="str">
        <x:f>IF(ISNUMBER(C10),C10,"")</x:f>
      </x:c>
      <x:c r="D11" s="35" t="str">
        <x:f>IF(COUNT(C11,B11)=2,C11-B11,"")</x:f>
      </x:c>
      <x:c r="E11" s="35" t="str">
        <x:f>IF(ISNUMBER(E10),E10,"")</x:f>
      </x:c>
      <x:c r="F11" s="35" t="str">
        <x:f>IF(ISNUMBER(F10),F10,"")</x:f>
      </x:c>
      <x:c r="G11" s="35" t="str">
        <x:f>IF(COUNT(F11,E11)=2,F11-E11,"")</x:f>
      </x:c>
      <x:c r="H11" s="35" t="str">
        <x:f>IF(COUNT(D11,G11)=2,D11-G11,"")</x:f>
      </x:c>
    </x:row>
    <x:row r="12" ht="23" customHeight="1">
      <x:c r="A12" s="34" t="str">
        <x:v>YTD Total</x:v>
      </x:c>
      <x:c r="B12" s="35" t="str">
        <x:f>IF(COUNT(B4,B11)=0,"",SUM(B4,B11))</x:f>
      </x:c>
      <x:c r="C12" s="35" t="str">
        <x:f>IF(COUNT(C4,C11)=0,"",SUM(C4,C11))</x:f>
      </x:c>
      <x:c r="D12" s="35" t="str">
        <x:f>IF(COUNT(C12,B12)=2,C12-B12,"")</x:f>
      </x:c>
      <x:c r="E12" s="35" t="str">
        <x:f>IF(COUNT(E4,E11)=0,"",SUM(E4,E11))</x:f>
      </x:c>
      <x:c r="F12" s="35" t="str">
        <x:f>IF(COUNT(F4,F11)=0,"",SUM(F4,F11))</x:f>
      </x:c>
      <x:c r="G12" s="35" t="str">
        <x:f>IF(COUNT(F12,E12)=2,F12-E12,"")</x:f>
      </x:c>
      <x:c r="H12" s="35" t="str">
        <x:f>IF(COUNT(D12,G12)=2,D12-G12,"")</x:f>
      </x:c>
    </x:row>
    <x:row r="13" ht="23" customHeight="1">
      <x:c r="A13" s="2"/>
      <x:c r="B13" s="4"/>
      <x:c r="C13" s="4"/>
      <x:c r="D13" s="4"/>
      <x:c r="E13" s="4"/>
      <x:c r="F13" s="4"/>
      <x:c r="G13" s="4"/>
      <x:c r="H13" s="4"/>
    </x:row>
    <x:row r="14" ht="23" customHeight="1">
      <x:c r="A14" s="2"/>
      <x:c r="B14" s="4"/>
      <x:c r="C14" s="4"/>
      <x:c r="D14" s="4"/>
      <x:c r="E14" s="4"/>
      <x:c r="F14" s="4"/>
      <x:c r="G14" s="4"/>
      <x:c r="H14" s="4"/>
    </x:row>
    <x:row r="15" ht="34" customHeight="1">
      <x:c r="A15" s="22" t="str">
        <x:v>Mar</x:v>
      </x:c>
      <x:c r="B15" s="23" t="str">
        <x:v>Income</x:v>
      </x:c>
      <x:c r="C15" s="23"/>
      <x:c r="D15" s="23"/>
      <x:c r="E15" s="23" t="str">
        <x:v>Expenses</x:v>
      </x:c>
      <x:c r="F15" s="23"/>
      <x:c r="G15" s="23"/>
      <x:c r="H15" s="23" t="str">
        <x:v>Profit/Loss</x:v>
      </x:c>
    </x:row>
    <x:row r="16" ht="34" customHeight="1">
      <x:c r="A16" s="22" t="str">
        <x:v>Funds</x:v>
      </x:c>
      <x:c r="B16" s="23" t="str">
        <x:v>Budget</x:v>
      </x:c>
      <x:c r="C16" s="23" t="str">
        <x:v>Actual</x:v>
      </x:c>
      <x:c r="D16" s="23" t="str">
        <x:v>Variance</x:v>
      </x:c>
      <x:c r="E16" s="23" t="str">
        <x:v>Budget</x:v>
      </x:c>
      <x:c r="F16" s="23" t="str">
        <x:v>Actual</x:v>
      </x:c>
      <x:c r="G16" s="23" t="str">
        <x:v>Variance</x:v>
      </x:c>
      <x:c r="H16" s="23" t="str">
        <x:v>Net Variance</x:v>
      </x:c>
    </x:row>
    <x:row r="17" ht="23" customHeight="1">
      <x:c r="A17" s="27" t="str">
        <x:v>Fund 1</x:v>
      </x:c>
      <x:c r="B17" s="29"/>
      <x:c r="C17" s="29"/>
      <x:c r="D17" s="31" t="str">
        <x:f>IF(COUNT(C17,B17)=2,C17-B17,"")</x:f>
      </x:c>
      <x:c r="E17" s="29"/>
      <x:c r="F17" s="29"/>
      <x:c r="G17" s="31" t="str">
        <x:f>IF(COUNT(F17,E17)=2,F17-E17,"")</x:f>
      </x:c>
      <x:c r="H17" s="31" t="str">
        <x:f>IF(COUNT(D17,G17)=2,D17-G17,"")</x:f>
      </x:c>
    </x:row>
    <x:row r="18" ht="23" customHeight="1">
      <x:c r="A18" s="34" t="str">
        <x:v>MTD Total</x:v>
      </x:c>
      <x:c r="B18" s="35" t="str">
        <x:f>IF(ISNUMBER(B17),B17,"")</x:f>
      </x:c>
      <x:c r="C18" s="35" t="str">
        <x:f>IF(ISNUMBER(C17),C17,"")</x:f>
      </x:c>
      <x:c r="D18" s="35" t="str">
        <x:f>IF(COUNT(C18,B18)=2,C18-B18,"")</x:f>
      </x:c>
      <x:c r="E18" s="35" t="str">
        <x:f>IF(ISNUMBER(E17),E17,"")</x:f>
      </x:c>
      <x:c r="F18" s="35" t="str">
        <x:f>IF(ISNUMBER(F17),F17,"")</x:f>
      </x:c>
      <x:c r="G18" s="35" t="str">
        <x:f>IF(COUNT(F18,E18)=2,F18-E18,"")</x:f>
      </x:c>
      <x:c r="H18" s="35" t="str">
        <x:f>IF(COUNT(D18,G18)=2,D18-G18,"")</x:f>
      </x:c>
    </x:row>
    <x:row r="19" ht="23" customHeight="1">
      <x:c r="A19" s="34" t="str">
        <x:v>YTD Total</x:v>
      </x:c>
      <x:c r="B19" s="35" t="str">
        <x:f>IF(COUNT(B4,B11,B18)=0,"",SUM(B4,B11,B18))</x:f>
      </x:c>
      <x:c r="C19" s="35" t="str">
        <x:f>IF(COUNT(C4,C11,C18)=0,"",SUM(C4,C11,C18))</x:f>
      </x:c>
      <x:c r="D19" s="35" t="str">
        <x:f>IF(COUNT(C19,B19)=2,C19-B19,"")</x:f>
      </x:c>
      <x:c r="E19" s="35" t="str">
        <x:f>IF(COUNT(E4,E11,E18)=0,"",SUM(E4,E11,E18))</x:f>
      </x:c>
      <x:c r="F19" s="35" t="str">
        <x:f>IF(COUNT(F4,F11,F18)=0,"",SUM(F4,F11,F18))</x:f>
      </x:c>
      <x:c r="G19" s="35" t="str">
        <x:f>IF(COUNT(F19,E19)=2,F19-E19,"")</x:f>
      </x:c>
      <x:c r="H19" s="35" t="str">
        <x:f>IF(COUNT(D19,G19)=2,D19-G19,"")</x:f>
      </x:c>
    </x:row>
    <x:row r="20" ht="23" customHeight="1">
      <x:c r="A20" s="2"/>
      <x:c r="B20" s="4"/>
      <x:c r="C20" s="4"/>
      <x:c r="D20" s="4"/>
      <x:c r="E20" s="4"/>
      <x:c r="F20" s="4"/>
      <x:c r="G20" s="4"/>
      <x:c r="H20" s="4"/>
    </x:row>
    <x:row r="21" ht="23" customHeight="1">
      <x:c r="A21" s="2"/>
      <x:c r="B21" s="4"/>
      <x:c r="C21" s="4"/>
      <x:c r="D21" s="4"/>
      <x:c r="E21" s="4"/>
      <x:c r="F21" s="4"/>
      <x:c r="G21" s="4"/>
      <x:c r="H21" s="4"/>
    </x:row>
    <x:row r="22" ht="34" customHeight="1">
      <x:c r="A22" s="22" t="str">
        <x:v>Apr</x:v>
      </x:c>
      <x:c r="B22" s="23" t="str">
        <x:v>Income</x:v>
      </x:c>
      <x:c r="C22" s="23"/>
      <x:c r="D22" s="23"/>
      <x:c r="E22" s="23" t="str">
        <x:v>Expenses</x:v>
      </x:c>
      <x:c r="F22" s="23"/>
      <x:c r="G22" s="23"/>
      <x:c r="H22" s="23" t="str">
        <x:v>Profit/Loss</x:v>
      </x:c>
    </x:row>
    <x:row r="23" ht="34" customHeight="1">
      <x:c r="A23" s="22" t="str">
        <x:v>Funds</x:v>
      </x:c>
      <x:c r="B23" s="23" t="str">
        <x:v>Budget</x:v>
      </x:c>
      <x:c r="C23" s="23" t="str">
        <x:v>Actual</x:v>
      </x:c>
      <x:c r="D23" s="23" t="str">
        <x:v>Variance</x:v>
      </x:c>
      <x:c r="E23" s="23" t="str">
        <x:v>Budget</x:v>
      </x:c>
      <x:c r="F23" s="23" t="str">
        <x:v>Actual</x:v>
      </x:c>
      <x:c r="G23" s="23" t="str">
        <x:v>Variance</x:v>
      </x:c>
      <x:c r="H23" s="23" t="str">
        <x:v>Net Variance</x:v>
      </x:c>
    </x:row>
    <x:row r="24" ht="23" customHeight="1">
      <x:c r="A24" s="27" t="str">
        <x:v>Fund 1</x:v>
      </x:c>
      <x:c r="B24" s="29"/>
      <x:c r="C24" s="29"/>
      <x:c r="D24" s="31" t="str">
        <x:f>IF(COUNT(C24,B24)=2,C24-B24,"")</x:f>
      </x:c>
      <x:c r="E24" s="29"/>
      <x:c r="F24" s="29"/>
      <x:c r="G24" s="31" t="str">
        <x:f>IF(COUNT(F24,E24)=2,F24-E24,"")</x:f>
      </x:c>
      <x:c r="H24" s="31" t="str">
        <x:f>IF(COUNT(D24,G24)=2,D24-G24,"")</x:f>
      </x:c>
    </x:row>
    <x:row r="25" ht="23" customHeight="1">
      <x:c r="A25" s="34" t="str">
        <x:v>MTD Total</x:v>
      </x:c>
      <x:c r="B25" s="35" t="str">
        <x:f>IF(ISNUMBER(B24),B24,"")</x:f>
      </x:c>
      <x:c r="C25" s="35" t="str">
        <x:f>IF(ISNUMBER(C24),C24,"")</x:f>
      </x:c>
      <x:c r="D25" s="35" t="str">
        <x:f>IF(COUNT(C25,B25)=2,C25-B25,"")</x:f>
      </x:c>
      <x:c r="E25" s="35" t="str">
        <x:f>IF(ISNUMBER(E24),E24,"")</x:f>
      </x:c>
      <x:c r="F25" s="35" t="str">
        <x:f>IF(ISNUMBER(F24),F24,"")</x:f>
      </x:c>
      <x:c r="G25" s="35" t="str">
        <x:f>IF(COUNT(F25,E25)=2,F25-E25,"")</x:f>
      </x:c>
      <x:c r="H25" s="35" t="str">
        <x:f>IF(COUNT(D25,G25)=2,D25-G25,"")</x:f>
      </x:c>
    </x:row>
    <x:row r="26" ht="23" customHeight="1">
      <x:c r="A26" s="34" t="str">
        <x:v>YTD Total</x:v>
      </x:c>
      <x:c r="B26" s="35" t="str">
        <x:f>IF(COUNT(B4,B11,B18,B25)=0,"",SUM(B4,B11,B18,B25))</x:f>
      </x:c>
      <x:c r="C26" s="35" t="str">
        <x:f>IF(COUNT(C4,C11,C18,C25)=0,"",SUM(C4,C11,C18,C25))</x:f>
      </x:c>
      <x:c r="D26" s="35" t="str">
        <x:f>IF(COUNT(C26,B26)=2,C26-B26,"")</x:f>
      </x:c>
      <x:c r="E26" s="35" t="str">
        <x:f>IF(COUNT(E4,E11,E18,E25)=0,"",SUM(E4,E11,E18,E25))</x:f>
      </x:c>
      <x:c r="F26" s="35" t="str">
        <x:f>IF(COUNT(F4,F11,F18,F25)=0,"",SUM(F4,F11,F18,F25))</x:f>
      </x:c>
      <x:c r="G26" s="35" t="str">
        <x:f>IF(COUNT(F26,E26)=2,F26-E26,"")</x:f>
      </x:c>
      <x:c r="H26" s="35" t="str">
        <x:f>IF(COUNT(D26,G26)=2,D26-G26,"")</x:f>
      </x:c>
    </x:row>
    <x:row r="27" ht="23" customHeight="1">
      <x:c r="A27" s="2"/>
      <x:c r="B27" s="4"/>
      <x:c r="C27" s="4"/>
      <x:c r="D27" s="4"/>
      <x:c r="E27" s="4"/>
      <x:c r="F27" s="4"/>
      <x:c r="G27" s="4"/>
      <x:c r="H27" s="4"/>
    </x:row>
    <x:row r="28" ht="23" customHeight="1">
      <x:c r="A28" s="2"/>
      <x:c r="B28" s="4"/>
      <x:c r="C28" s="4"/>
      <x:c r="D28" s="4"/>
      <x:c r="E28" s="4"/>
      <x:c r="F28" s="4"/>
      <x:c r="G28" s="4"/>
      <x:c r="H28" s="4"/>
    </x:row>
    <x:row r="29" ht="34" customHeight="1">
      <x:c r="A29" s="22" t="str">
        <x:v>May</x:v>
      </x:c>
      <x:c r="B29" s="23" t="str">
        <x:v>Income</x:v>
      </x:c>
      <x:c r="C29" s="23"/>
      <x:c r="D29" s="23"/>
      <x:c r="E29" s="23" t="str">
        <x:v>Expenses</x:v>
      </x:c>
      <x:c r="F29" s="23"/>
      <x:c r="G29" s="23"/>
      <x:c r="H29" s="23" t="str">
        <x:v>Profit/Loss</x:v>
      </x:c>
    </x:row>
    <x:row r="30" ht="34" customHeight="1">
      <x:c r="A30" s="22" t="str">
        <x:v>Funds</x:v>
      </x:c>
      <x:c r="B30" s="23" t="str">
        <x:v>Budget</x:v>
      </x:c>
      <x:c r="C30" s="23" t="str">
        <x:v>Actual</x:v>
      </x:c>
      <x:c r="D30" s="23" t="str">
        <x:v>Variance</x:v>
      </x:c>
      <x:c r="E30" s="23" t="str">
        <x:v>Budget</x:v>
      </x:c>
      <x:c r="F30" s="23" t="str">
        <x:v>Actual</x:v>
      </x:c>
      <x:c r="G30" s="23" t="str">
        <x:v>Variance</x:v>
      </x:c>
      <x:c r="H30" s="23" t="str">
        <x:v>Net Variance</x:v>
      </x:c>
    </x:row>
    <x:row r="31" ht="23" customHeight="1">
      <x:c r="A31" s="27" t="str">
        <x:v>Fund 1</x:v>
      </x:c>
      <x:c r="B31" s="29"/>
      <x:c r="C31" s="29"/>
      <x:c r="D31" s="31" t="str">
        <x:f>IF(COUNT(C31,B31)=2,C31-B31,"")</x:f>
      </x:c>
      <x:c r="E31" s="29"/>
      <x:c r="F31" s="29"/>
      <x:c r="G31" s="31" t="str">
        <x:f>IF(COUNT(F31,E31)=2,F31-E31,"")</x:f>
      </x:c>
      <x:c r="H31" s="31" t="str">
        <x:f>IF(COUNT(D31,G31)=2,D31-G31,"")</x:f>
      </x:c>
    </x:row>
    <x:row r="32" ht="23" customHeight="1">
      <x:c r="A32" s="34" t="str">
        <x:v>MTD Total</x:v>
      </x:c>
      <x:c r="B32" s="35" t="str">
        <x:f>IF(ISNUMBER(B31),B31,"")</x:f>
      </x:c>
      <x:c r="C32" s="35" t="str">
        <x:f>IF(ISNUMBER(C31),C31,"")</x:f>
      </x:c>
      <x:c r="D32" s="35" t="str">
        <x:f>IF(COUNT(C32,B32)=2,C32-B32,"")</x:f>
      </x:c>
      <x:c r="E32" s="35" t="str">
        <x:f>IF(ISNUMBER(E31),E31,"")</x:f>
      </x:c>
      <x:c r="F32" s="35" t="str">
        <x:f>IF(ISNUMBER(F31),F31,"")</x:f>
      </x:c>
      <x:c r="G32" s="35" t="str">
        <x:f>IF(COUNT(F32,E32)=2,F32-E32,"")</x:f>
      </x:c>
      <x:c r="H32" s="35" t="str">
        <x:f>IF(COUNT(D32,G32)=2,D32-G32,"")</x:f>
      </x:c>
    </x:row>
    <x:row r="33" ht="23" customHeight="1">
      <x:c r="A33" s="34" t="str">
        <x:v>YTD Total</x:v>
      </x:c>
      <x:c r="B33" s="35" t="str">
        <x:f>IF(COUNT(B4,B11,B18,B25,B32)=0,"",SUM(B4,B11,B18,B25,B32))</x:f>
      </x:c>
      <x:c r="C33" s="35" t="str">
        <x:f>IF(COUNT(C4,C11,C18,C25,C32)=0,"",SUM(C4,C11,C18,C25,C32))</x:f>
      </x:c>
      <x:c r="D33" s="35" t="str">
        <x:f>IF(COUNT(C33,B33)=2,C33-B33,"")</x:f>
      </x:c>
      <x:c r="E33" s="35" t="str">
        <x:f>IF(COUNT(E4,E11,E18,E25,E32)=0,"",SUM(E4,E11,E18,E25,E32))</x:f>
      </x:c>
      <x:c r="F33" s="35" t="str">
        <x:f>IF(COUNT(F4,F11,F18,F25,F32)=0,"",SUM(F4,F11,F18,F25,F32))</x:f>
      </x:c>
      <x:c r="G33" s="35" t="str">
        <x:f>IF(COUNT(F33,E33)=2,F33-E33,"")</x:f>
      </x:c>
      <x:c r="H33" s="35" t="str">
        <x:f>IF(COUNT(D33,G33)=2,D33-G33,"")</x:f>
      </x:c>
    </x:row>
    <x:row r="34" ht="23" customHeight="1">
      <x:c r="A34" s="2"/>
      <x:c r="B34" s="4"/>
      <x:c r="C34" s="4"/>
      <x:c r="D34" s="4"/>
      <x:c r="E34" s="4"/>
      <x:c r="F34" s="4"/>
      <x:c r="G34" s="4"/>
      <x:c r="H34" s="4"/>
    </x:row>
    <x:row r="35" ht="23" customHeight="1">
      <x:c r="A35" s="2"/>
      <x:c r="B35" s="4"/>
      <x:c r="C35" s="4"/>
      <x:c r="D35" s="4"/>
      <x:c r="E35" s="4"/>
      <x:c r="F35" s="4"/>
      <x:c r="G35" s="4"/>
      <x:c r="H35" s="4"/>
    </x:row>
    <x:row r="36" ht="34" customHeight="1">
      <x:c r="A36" s="22" t="str">
        <x:v>Jun</x:v>
      </x:c>
      <x:c r="B36" s="23" t="str">
        <x:v>Income</x:v>
      </x:c>
      <x:c r="C36" s="23"/>
      <x:c r="D36" s="23"/>
      <x:c r="E36" s="23" t="str">
        <x:v>Expenses</x:v>
      </x:c>
      <x:c r="F36" s="23"/>
      <x:c r="G36" s="23"/>
      <x:c r="H36" s="23" t="str">
        <x:v>Profit/Loss</x:v>
      </x:c>
    </x:row>
    <x:row r="37" ht="34" customHeight="1">
      <x:c r="A37" s="22" t="str">
        <x:v>Funds</x:v>
      </x:c>
      <x:c r="B37" s="23" t="str">
        <x:v>Budget</x:v>
      </x:c>
      <x:c r="C37" s="23" t="str">
        <x:v>Actual</x:v>
      </x:c>
      <x:c r="D37" s="23" t="str">
        <x:v>Variance</x:v>
      </x:c>
      <x:c r="E37" s="23" t="str">
        <x:v>Budget</x:v>
      </x:c>
      <x:c r="F37" s="23" t="str">
        <x:v>Actual</x:v>
      </x:c>
      <x:c r="G37" s="23" t="str">
        <x:v>Variance</x:v>
      </x:c>
      <x:c r="H37" s="23" t="str">
        <x:v>Net Variance</x:v>
      </x:c>
    </x:row>
    <x:row r="38" ht="23" customHeight="1">
      <x:c r="A38" s="27" t="str">
        <x:v>Fund 1</x:v>
      </x:c>
      <x:c r="B38" s="29"/>
      <x:c r="C38" s="29"/>
      <x:c r="D38" s="31" t="str">
        <x:f>IF(COUNT(C38,B38)=2,C38-B38,"")</x:f>
      </x:c>
      <x:c r="E38" s="29"/>
      <x:c r="F38" s="29"/>
      <x:c r="G38" s="31" t="str">
        <x:f>IF(COUNT(F38,E38)=2,F38-E38,"")</x:f>
      </x:c>
      <x:c r="H38" s="31" t="str">
        <x:f>IF(COUNT(D38,G38)=2,D38-G38,"")</x:f>
      </x:c>
    </x:row>
    <x:row r="39" ht="23" customHeight="1">
      <x:c r="A39" s="34" t="str">
        <x:v>MTD Total</x:v>
      </x:c>
      <x:c r="B39" s="35" t="str">
        <x:f>IF(ISNUMBER(B38),B38,"")</x:f>
      </x:c>
      <x:c r="C39" s="35" t="str">
        <x:f>IF(ISNUMBER(C38),C38,"")</x:f>
      </x:c>
      <x:c r="D39" s="35" t="str">
        <x:f>IF(COUNT(C39,B39)=2,C39-B39,"")</x:f>
      </x:c>
      <x:c r="E39" s="35" t="str">
        <x:f>IF(ISNUMBER(E38),E38,"")</x:f>
      </x:c>
      <x:c r="F39" s="35" t="str">
        <x:f>IF(ISNUMBER(F38),F38,"")</x:f>
      </x:c>
      <x:c r="G39" s="35" t="str">
        <x:f>IF(COUNT(F39,E39)=2,F39-E39,"")</x:f>
      </x:c>
      <x:c r="H39" s="35" t="str">
        <x:f>IF(COUNT(D39,G39)=2,D39-G39,"")</x:f>
      </x:c>
    </x:row>
    <x:row r="40" ht="23" customHeight="1">
      <x:c r="A40" s="34" t="str">
        <x:v>YTD Total</x:v>
      </x:c>
      <x:c r="B40" s="35" t="str">
        <x:f>IF(COUNT(B4,B11,B18,B25,B32,B39)=0,"",SUM(B4,B11,B18,B25,B32,B39))</x:f>
      </x:c>
      <x:c r="C40" s="35" t="str">
        <x:f>IF(COUNT(C4,C11,C18,C25,C32,C39)=0,"",SUM(C4,C11,C18,C25,C32,C39))</x:f>
      </x:c>
      <x:c r="D40" s="35" t="str">
        <x:f>IF(COUNT(C40,B40)=2,C40-B40,"")</x:f>
      </x:c>
      <x:c r="E40" s="35" t="str">
        <x:f>IF(COUNT(E4,E11,E18,E25,E32,E39)=0,"",SUM(E4,E11,E18,E25,E32,E39))</x:f>
      </x:c>
      <x:c r="F40" s="35" t="str">
        <x:f>IF(COUNT(F4,F11,F18,F25,F32,F39)=0,"",SUM(F4,F11,F18,F25,F32,F39))</x:f>
      </x:c>
      <x:c r="G40" s="35" t="str">
        <x:f>IF(COUNT(F40,E40)=2,F40-E40,"")</x:f>
      </x:c>
      <x:c r="H40" s="35" t="str">
        <x:f>IF(COUNT(D40,G40)=2,D40-G40,"")</x:f>
      </x:c>
    </x:row>
    <x:row r="41" ht="23" customHeight="1">
      <x:c r="A41" s="2"/>
      <x:c r="B41" s="4"/>
      <x:c r="C41" s="4"/>
      <x:c r="D41" s="4"/>
      <x:c r="E41" s="4"/>
      <x:c r="F41" s="4"/>
      <x:c r="G41" s="4"/>
      <x:c r="H41" s="4"/>
    </x:row>
    <x:row r="42" ht="23" customHeight="1">
      <x:c r="A42" s="2"/>
      <x:c r="B42" s="4"/>
      <x:c r="C42" s="4"/>
      <x:c r="D42" s="4"/>
      <x:c r="E42" s="4"/>
      <x:c r="F42" s="4"/>
      <x:c r="G42" s="4"/>
      <x:c r="H42" s="4"/>
    </x:row>
    <x:row r="43" ht="34" customHeight="1">
      <x:c r="A43" s="22" t="str">
        <x:v>Jul</x:v>
      </x:c>
      <x:c r="B43" s="23" t="str">
        <x:v>Income</x:v>
      </x:c>
      <x:c r="C43" s="23"/>
      <x:c r="D43" s="23"/>
      <x:c r="E43" s="23" t="str">
        <x:v>Expenses</x:v>
      </x:c>
      <x:c r="F43" s="23"/>
      <x:c r="G43" s="23"/>
      <x:c r="H43" s="23" t="str">
        <x:v>Profit/Loss</x:v>
      </x:c>
    </x:row>
    <x:row r="44" ht="34" customHeight="1">
      <x:c r="A44" s="22" t="str">
        <x:v>Funds</x:v>
      </x:c>
      <x:c r="B44" s="23" t="str">
        <x:v>Budget</x:v>
      </x:c>
      <x:c r="C44" s="23" t="str">
        <x:v>Actual</x:v>
      </x:c>
      <x:c r="D44" s="23" t="str">
        <x:v>Variance</x:v>
      </x:c>
      <x:c r="E44" s="23" t="str">
        <x:v>Budget</x:v>
      </x:c>
      <x:c r="F44" s="23" t="str">
        <x:v>Actual</x:v>
      </x:c>
      <x:c r="G44" s="23" t="str">
        <x:v>Variance</x:v>
      </x:c>
      <x:c r="H44" s="23" t="str">
        <x:v>Net Variance</x:v>
      </x:c>
    </x:row>
    <x:row r="45" ht="23" customHeight="1">
      <x:c r="A45" s="27" t="str">
        <x:v>Fund 1</x:v>
      </x:c>
      <x:c r="B45" s="29"/>
      <x:c r="C45" s="29"/>
      <x:c r="D45" s="31" t="str">
        <x:f>IF(COUNT(C45,B45)=2,C45-B45,"")</x:f>
      </x:c>
      <x:c r="E45" s="29"/>
      <x:c r="F45" s="29"/>
      <x:c r="G45" s="31" t="str">
        <x:f>IF(COUNT(F45,E45)=2,F45-E45,"")</x:f>
      </x:c>
      <x:c r="H45" s="31" t="str">
        <x:f>IF(COUNT(D45,G45)=2,D45-G45,"")</x:f>
      </x:c>
    </x:row>
    <x:row r="46" ht="23" customHeight="1">
      <x:c r="A46" s="34" t="str">
        <x:v>MTD Total</x:v>
      </x:c>
      <x:c r="B46" s="35" t="str">
        <x:f>IF(ISNUMBER(B45),B45,"")</x:f>
      </x:c>
      <x:c r="C46" s="35" t="str">
        <x:f>IF(ISNUMBER(C45),C45,"")</x:f>
      </x:c>
      <x:c r="D46" s="35" t="str">
        <x:f>IF(COUNT(C46,B46)=2,C46-B46,"")</x:f>
      </x:c>
      <x:c r="E46" s="35" t="str">
        <x:f>IF(ISNUMBER(E45),E45,"")</x:f>
      </x:c>
      <x:c r="F46" s="35" t="str">
        <x:f>IF(ISNUMBER(F45),F45,"")</x:f>
      </x:c>
      <x:c r="G46" s="35" t="str">
        <x:f>IF(COUNT(F46,E46)=2,F46-E46,"")</x:f>
      </x:c>
      <x:c r="H46" s="35" t="str">
        <x:f>IF(COUNT(D46,G46)=2,D46-G46,"")</x:f>
      </x:c>
    </x:row>
    <x:row r="47" ht="23" customHeight="1">
      <x:c r="A47" s="34" t="str">
        <x:v>YTD Total</x:v>
      </x:c>
      <x:c r="B47" s="35" t="str">
        <x:f>IF(COUNT(B4,B11,B18,B25,B32,B39,B46)=0,"",SUM(B4,B11,B18,B25,B32,B39,B46))</x:f>
      </x:c>
      <x:c r="C47" s="35" t="str">
        <x:f>IF(COUNT(C4,C11,C18,C25,C32,C39,C46)=0,"",SUM(C4,C11,C18,C25,C32,C39,C46))</x:f>
      </x:c>
      <x:c r="D47" s="35" t="str">
        <x:f>IF(COUNT(C47,B47)=2,C47-B47,"")</x:f>
      </x:c>
      <x:c r="E47" s="35" t="str">
        <x:f>IF(COUNT(E4,E11,E18,E25,E32,E39,E46)=0,"",SUM(E4,E11,E18,E25,E32,E39,E46))</x:f>
      </x:c>
      <x:c r="F47" s="35" t="str">
        <x:f>IF(COUNT(F4,F11,F18,F25,F32,F39,F46)=0,"",SUM(F4,F11,F18,F25,F32,F39,F46))</x:f>
      </x:c>
      <x:c r="G47" s="35" t="str">
        <x:f>IF(COUNT(F47,E47)=2,F47-E47,"")</x:f>
      </x:c>
      <x:c r="H47" s="35" t="str">
        <x:f>IF(COUNT(D47,G47)=2,D47-G47,"")</x:f>
      </x:c>
    </x:row>
    <x:row r="48" ht="23" customHeight="1">
      <x:c r="A48" s="2"/>
      <x:c r="B48" s="4"/>
      <x:c r="C48" s="4"/>
      <x:c r="D48" s="4"/>
      <x:c r="E48" s="4"/>
      <x:c r="F48" s="4"/>
      <x:c r="G48" s="4"/>
      <x:c r="H48" s="4"/>
    </x:row>
    <x:row r="49" ht="23" customHeight="1">
      <x:c r="A49" s="2"/>
      <x:c r="B49" s="4"/>
      <x:c r="C49" s="4"/>
      <x:c r="D49" s="4"/>
      <x:c r="E49" s="4"/>
      <x:c r="F49" s="4"/>
      <x:c r="G49" s="4"/>
      <x:c r="H49" s="4"/>
    </x:row>
    <x:row r="50" ht="34" customHeight="1">
      <x:c r="A50" s="22" t="str">
        <x:v>Aug</x:v>
      </x:c>
      <x:c r="B50" s="23" t="str">
        <x:v>Income</x:v>
      </x:c>
      <x:c r="C50" s="23"/>
      <x:c r="D50" s="23"/>
      <x:c r="E50" s="23" t="str">
        <x:v>Expenses</x:v>
      </x:c>
      <x:c r="F50" s="23"/>
      <x:c r="G50" s="23"/>
      <x:c r="H50" s="23" t="str">
        <x:v>Profit/Loss</x:v>
      </x:c>
    </x:row>
    <x:row r="51" ht="34" customHeight="1">
      <x:c r="A51" s="22" t="str">
        <x:v>Funds</x:v>
      </x:c>
      <x:c r="B51" s="23" t="str">
        <x:v>Budget</x:v>
      </x:c>
      <x:c r="C51" s="23" t="str">
        <x:v>Actual</x:v>
      </x:c>
      <x:c r="D51" s="23" t="str">
        <x:v>Variance</x:v>
      </x:c>
      <x:c r="E51" s="23" t="str">
        <x:v>Budget</x:v>
      </x:c>
      <x:c r="F51" s="23" t="str">
        <x:v>Actual</x:v>
      </x:c>
      <x:c r="G51" s="23" t="str">
        <x:v>Variance</x:v>
      </x:c>
      <x:c r="H51" s="23" t="str">
        <x:v>Net Variance</x:v>
      </x:c>
    </x:row>
    <x:row r="52" ht="23" customHeight="1">
      <x:c r="A52" s="27" t="str">
        <x:v>Fund 1</x:v>
      </x:c>
      <x:c r="B52" s="29"/>
      <x:c r="C52" s="29"/>
      <x:c r="D52" s="31" t="str">
        <x:f>IF(COUNT(C52,B52)=2,C52-B52,"")</x:f>
      </x:c>
      <x:c r="E52" s="29"/>
      <x:c r="F52" s="29"/>
      <x:c r="G52" s="31" t="str">
        <x:f>IF(COUNT(F52,E52)=2,F52-E52,"")</x:f>
      </x:c>
      <x:c r="H52" s="31" t="str">
        <x:f>IF(COUNT(D52,G52)=2,D52-G52,"")</x:f>
      </x:c>
    </x:row>
    <x:row r="53" ht="23" customHeight="1">
      <x:c r="A53" s="34" t="str">
        <x:v>MTD Total</x:v>
      </x:c>
      <x:c r="B53" s="35" t="str">
        <x:f>IF(ISNUMBER(B52),B52,"")</x:f>
      </x:c>
      <x:c r="C53" s="35" t="str">
        <x:f>IF(ISNUMBER(C52),C52,"")</x:f>
      </x:c>
      <x:c r="D53" s="35" t="str">
        <x:f>IF(COUNT(C53,B53)=2,C53-B53,"")</x:f>
      </x:c>
      <x:c r="E53" s="35" t="str">
        <x:f>IF(ISNUMBER(E52),E52,"")</x:f>
      </x:c>
      <x:c r="F53" s="35" t="str">
        <x:f>IF(ISNUMBER(F52),F52,"")</x:f>
      </x:c>
      <x:c r="G53" s="35" t="str">
        <x:f>IF(COUNT(F53,E53)=2,F53-E53,"")</x:f>
      </x:c>
      <x:c r="H53" s="35" t="str">
        <x:f>IF(COUNT(D53,G53)=2,D53-G53,"")</x:f>
      </x:c>
    </x:row>
    <x:row r="54" ht="23" customHeight="1">
      <x:c r="A54" s="34" t="str">
        <x:v>YTD Total</x:v>
      </x:c>
      <x:c r="B54" s="35" t="str">
        <x:f>IF(COUNT(B4,B11,B18,B25,B32,B39,B46,B53)=0,"",SUM(B4,B11,B18,B25,B32,B39,B46,B53))</x:f>
      </x:c>
      <x:c r="C54" s="35" t="str">
        <x:f>IF(COUNT(C4,C11,C18,C25,C32,C39,C46,C53)=0,"",SUM(C4,C11,C18,C25,C32,C39,C46,C53))</x:f>
      </x:c>
      <x:c r="D54" s="35" t="str">
        <x:f>IF(COUNT(C54,B54)=2,C54-B54,"")</x:f>
      </x:c>
      <x:c r="E54" s="35" t="str">
        <x:f>IF(COUNT(E4,E11,E18,E25,E32,E39,E46,E53)=0,"",SUM(E4,E11,E18,E25,E32,E39,E46,E53))</x:f>
      </x:c>
      <x:c r="F54" s="35" t="str">
        <x:f>IF(COUNT(F4,F11,F18,F25,F32,F39,F46,F53)=0,"",SUM(F4,F11,F18,F25,F32,F39,F46,F53))</x:f>
      </x:c>
      <x:c r="G54" s="35" t="str">
        <x:f>IF(COUNT(F54,E54)=2,F54-E54,"")</x:f>
      </x:c>
      <x:c r="H54" s="35" t="str">
        <x:f>IF(COUNT(D54,G54)=2,D54-G54,"")</x:f>
      </x:c>
    </x:row>
    <x:row r="55" ht="23" customHeight="1">
      <x:c r="A55" s="2"/>
      <x:c r="B55" s="4"/>
      <x:c r="C55" s="4"/>
      <x:c r="D55" s="4"/>
      <x:c r="E55" s="4"/>
      <x:c r="F55" s="4"/>
      <x:c r="G55" s="4"/>
      <x:c r="H55" s="4"/>
    </x:row>
    <x:row r="56" ht="23" customHeight="1">
      <x:c r="A56" s="2"/>
      <x:c r="B56" s="4"/>
      <x:c r="C56" s="4"/>
      <x:c r="D56" s="4"/>
      <x:c r="E56" s="4"/>
      <x:c r="F56" s="4"/>
      <x:c r="G56" s="4"/>
      <x:c r="H56" s="4"/>
    </x:row>
    <x:row r="57" ht="34" customHeight="1">
      <x:c r="A57" s="22" t="str">
        <x:v>Sep</x:v>
      </x:c>
      <x:c r="B57" s="23" t="str">
        <x:v>Income</x:v>
      </x:c>
      <x:c r="C57" s="23"/>
      <x:c r="D57" s="23"/>
      <x:c r="E57" s="23" t="str">
        <x:v>Expenses</x:v>
      </x:c>
      <x:c r="F57" s="23"/>
      <x:c r="G57" s="23"/>
      <x:c r="H57" s="23" t="str">
        <x:v>Profit/Loss</x:v>
      </x:c>
    </x:row>
    <x:row r="58" ht="34" customHeight="1">
      <x:c r="A58" s="22" t="str">
        <x:v>Funds</x:v>
      </x:c>
      <x:c r="B58" s="23" t="str">
        <x:v>Budget</x:v>
      </x:c>
      <x:c r="C58" s="23" t="str">
        <x:v>Actual</x:v>
      </x:c>
      <x:c r="D58" s="23" t="str">
        <x:v>Variance</x:v>
      </x:c>
      <x:c r="E58" s="23" t="str">
        <x:v>Budget</x:v>
      </x:c>
      <x:c r="F58" s="23" t="str">
        <x:v>Actual</x:v>
      </x:c>
      <x:c r="G58" s="23" t="str">
        <x:v>Variance</x:v>
      </x:c>
      <x:c r="H58" s="23" t="str">
        <x:v>Net Variance</x:v>
      </x:c>
    </x:row>
    <x:row r="59" ht="23" customHeight="1">
      <x:c r="A59" s="27" t="str">
        <x:v>Fund 1</x:v>
      </x:c>
      <x:c r="B59" s="29"/>
      <x:c r="C59" s="29"/>
      <x:c r="D59" s="31" t="str">
        <x:f>IF(COUNT(C59,B59)=2,C59-B59,"")</x:f>
      </x:c>
      <x:c r="E59" s="29"/>
      <x:c r="F59" s="29"/>
      <x:c r="G59" s="31" t="str">
        <x:f>IF(COUNT(F59,E59)=2,F59-E59,"")</x:f>
      </x:c>
      <x:c r="H59" s="31" t="str">
        <x:f>IF(COUNT(D59,G59)=2,D59-G59,"")</x:f>
      </x:c>
    </x:row>
    <x:row r="60" ht="23" customHeight="1">
      <x:c r="A60" s="34" t="str">
        <x:v>MTD Total</x:v>
      </x:c>
      <x:c r="B60" s="35" t="str">
        <x:f>IF(ISNUMBER(B59),B59,"")</x:f>
      </x:c>
      <x:c r="C60" s="35" t="str">
        <x:f>IF(ISNUMBER(C59),C59,"")</x:f>
      </x:c>
      <x:c r="D60" s="35" t="str">
        <x:f>IF(COUNT(C60,B60)=2,C60-B60,"")</x:f>
      </x:c>
      <x:c r="E60" s="35" t="str">
        <x:f>IF(ISNUMBER(E59),E59,"")</x:f>
      </x:c>
      <x:c r="F60" s="35" t="str">
        <x:f>IF(ISNUMBER(F59),F59,"")</x:f>
      </x:c>
      <x:c r="G60" s="35" t="str">
        <x:f>IF(COUNT(F60,E60)=2,F60-E60,"")</x:f>
      </x:c>
      <x:c r="H60" s="35" t="str">
        <x:f>IF(COUNT(D60,G60)=2,D60-G60,"")</x:f>
      </x:c>
    </x:row>
    <x:row r="61" ht="23" customHeight="1">
      <x:c r="A61" s="34" t="str">
        <x:v>YTD Total</x:v>
      </x:c>
      <x:c r="B61" s="35" t="str">
        <x:f>IF(COUNT(B4,B11,B18,B25,B32,B39,B46,B53,B60)=0,"",SUM(B4,B11,B18,B25,B32,B39,B46,B53,B60))</x:f>
      </x:c>
      <x:c r="C61" s="35" t="str">
        <x:f>IF(COUNT(C4,C11,C18,C25,C32,C39,C46,C53,C60)=0,"",SUM(C4,C11,C18,C25,C32,C39,C46,C53,C60))</x:f>
      </x:c>
      <x:c r="D61" s="35" t="str">
        <x:f>IF(COUNT(C61,B61)=2,C61-B61,"")</x:f>
      </x:c>
      <x:c r="E61" s="35" t="str">
        <x:f>IF(COUNT(E4,E11,E18,E25,E32,E39,E46,E53,E60)=0,"",SUM(E4,E11,E18,E25,E32,E39,E46,E53,E60))</x:f>
      </x:c>
      <x:c r="F61" s="35" t="str">
        <x:f>IF(COUNT(F4,F11,F18,F25,F32,F39,F46,F53,F60)=0,"",SUM(F4,F11,F18,F25,F32,F39,F46,F53,F60))</x:f>
      </x:c>
      <x:c r="G61" s="35" t="str">
        <x:f>IF(COUNT(F61,E61)=2,F61-E61,"")</x:f>
      </x:c>
      <x:c r="H61" s="35" t="str">
        <x:f>IF(COUNT(D61,G61)=2,D61-G61,"")</x:f>
      </x:c>
    </x:row>
    <x:row r="62" ht="23" customHeight="1">
      <x:c r="A62" s="2"/>
      <x:c r="B62" s="4"/>
      <x:c r="C62" s="4"/>
      <x:c r="D62" s="4"/>
      <x:c r="E62" s="4"/>
      <x:c r="F62" s="4"/>
      <x:c r="G62" s="4"/>
      <x:c r="H62" s="4"/>
    </x:row>
    <x:row r="63" ht="23" customHeight="1">
      <x:c r="A63" s="2"/>
      <x:c r="B63" s="4"/>
      <x:c r="C63" s="4"/>
      <x:c r="D63" s="4"/>
      <x:c r="E63" s="4"/>
      <x:c r="F63" s="4"/>
      <x:c r="G63" s="4"/>
      <x:c r="H63" s="4"/>
    </x:row>
    <x:row r="64" ht="34" customHeight="1">
      <x:c r="A64" s="22" t="str">
        <x:v>Oct</x:v>
      </x:c>
      <x:c r="B64" s="23" t="str">
        <x:v>Income</x:v>
      </x:c>
      <x:c r="C64" s="23"/>
      <x:c r="D64" s="23"/>
      <x:c r="E64" s="23" t="str">
        <x:v>Expenses</x:v>
      </x:c>
      <x:c r="F64" s="23"/>
      <x:c r="G64" s="23"/>
      <x:c r="H64" s="23" t="str">
        <x:v>Profit/Loss</x:v>
      </x:c>
    </x:row>
    <x:row r="65" ht="34" customHeight="1">
      <x:c r="A65" s="22" t="str">
        <x:v>Funds</x:v>
      </x:c>
      <x:c r="B65" s="23" t="str">
        <x:v>Budget</x:v>
      </x:c>
      <x:c r="C65" s="23" t="str">
        <x:v>Actual</x:v>
      </x:c>
      <x:c r="D65" s="23" t="str">
        <x:v>Variance</x:v>
      </x:c>
      <x:c r="E65" s="23" t="str">
        <x:v>Budget</x:v>
      </x:c>
      <x:c r="F65" s="23" t="str">
        <x:v>Actual</x:v>
      </x:c>
      <x:c r="G65" s="23" t="str">
        <x:v>Variance</x:v>
      </x:c>
      <x:c r="H65" s="23" t="str">
        <x:v>Net Variance</x:v>
      </x:c>
    </x:row>
    <x:row r="66" ht="23" customHeight="1">
      <x:c r="A66" s="27" t="str">
        <x:v>Fund 1</x:v>
      </x:c>
      <x:c r="B66" s="29"/>
      <x:c r="C66" s="29"/>
      <x:c r="D66" s="31" t="str">
        <x:f>IF(COUNT(C66,B66)=2,C66-B66,"")</x:f>
      </x:c>
      <x:c r="E66" s="29"/>
      <x:c r="F66" s="29"/>
      <x:c r="G66" s="31" t="str">
        <x:f>IF(COUNT(F66,E66)=2,F66-E66,"")</x:f>
      </x:c>
      <x:c r="H66" s="31" t="str">
        <x:f>IF(COUNT(D66,G66)=2,D66-G66,"")</x:f>
      </x:c>
    </x:row>
    <x:row r="67" ht="23" customHeight="1">
      <x:c r="A67" s="34" t="str">
        <x:v>MTD Total</x:v>
      </x:c>
      <x:c r="B67" s="35" t="str">
        <x:f>IF(ISNUMBER(B66),B66,"")</x:f>
      </x:c>
      <x:c r="C67" s="35" t="str">
        <x:f>IF(ISNUMBER(C66),C66,"")</x:f>
      </x:c>
      <x:c r="D67" s="35" t="str">
        <x:f>IF(COUNT(C67,B67)=2,C67-B67,"")</x:f>
      </x:c>
      <x:c r="E67" s="35" t="str">
        <x:f>IF(ISNUMBER(E66),E66,"")</x:f>
      </x:c>
      <x:c r="F67" s="35" t="str">
        <x:f>IF(ISNUMBER(F66),F66,"")</x:f>
      </x:c>
      <x:c r="G67" s="35" t="str">
        <x:f>IF(COUNT(F67,E67)=2,F67-E67,"")</x:f>
      </x:c>
      <x:c r="H67" s="35" t="str">
        <x:f>IF(COUNT(D67,G67)=2,D67-G67,"")</x:f>
      </x:c>
    </x:row>
    <x:row r="68" ht="23" customHeight="1">
      <x:c r="A68" s="34" t="str">
        <x:v>YTD Total</x:v>
      </x:c>
      <x:c r="B68" s="35" t="str">
        <x:f>IF(COUNT(B4,B11,B18,B25,B32,B39,B46,B53,B60,B67)=0,"",SUM(B4,B11,B18,B25,B32,B39,B46,B53,B60,B67))</x:f>
      </x:c>
      <x:c r="C68" s="35" t="str">
        <x:f>IF(COUNT(C4,C11,C18,C25,C32,C39,C46,C53,C60,C67)=0,"",SUM(C4,C11,C18,C25,C32,C39,C46,C53,C60,C67))</x:f>
      </x:c>
      <x:c r="D68" s="35" t="str">
        <x:f>IF(COUNT(C68,B68)=2,C68-B68,"")</x:f>
      </x:c>
      <x:c r="E68" s="35" t="str">
        <x:f>IF(COUNT(E4,E11,E18,E25,E32,E39,E46,E53,E60,E67)=0,"",SUM(E4,E11,E18,E25,E32,E39,E46,E53,E60,E67))</x:f>
      </x:c>
      <x:c r="F68" s="35" t="str">
        <x:f>IF(COUNT(F4,F11,F18,F25,F32,F39,F46,F53,F60,F67)=0,"",SUM(F4,F11,F18,F25,F32,F39,F46,F53,F60,F67))</x:f>
      </x:c>
      <x:c r="G68" s="35" t="str">
        <x:f>IF(COUNT(F68,E68)=2,F68-E68,"")</x:f>
      </x:c>
      <x:c r="H68" s="35" t="str">
        <x:f>IF(COUNT(D68,G68)=2,D68-G68,"")</x:f>
      </x:c>
    </x:row>
    <x:row r="69" ht="23" customHeight="1">
      <x:c r="A69" s="2"/>
      <x:c r="B69" s="4"/>
      <x:c r="C69" s="4"/>
      <x:c r="D69" s="4"/>
      <x:c r="E69" s="4"/>
      <x:c r="F69" s="4"/>
      <x:c r="G69" s="4"/>
      <x:c r="H69" s="4"/>
    </x:row>
    <x:row r="70" ht="23" customHeight="1">
      <x:c r="A70" s="2"/>
      <x:c r="B70" s="4"/>
      <x:c r="C70" s="4"/>
      <x:c r="D70" s="4"/>
      <x:c r="E70" s="4"/>
      <x:c r="F70" s="4"/>
      <x:c r="G70" s="4"/>
      <x:c r="H70" s="4"/>
    </x:row>
    <x:row r="71" ht="34" customHeight="1">
      <x:c r="A71" s="22" t="str">
        <x:v>Nov</x:v>
      </x:c>
      <x:c r="B71" s="23" t="str">
        <x:v>Income</x:v>
      </x:c>
      <x:c r="C71" s="23"/>
      <x:c r="D71" s="23"/>
      <x:c r="E71" s="23" t="str">
        <x:v>Expenses</x:v>
      </x:c>
      <x:c r="F71" s="23"/>
      <x:c r="G71" s="23"/>
      <x:c r="H71" s="23" t="str">
        <x:v>Profit/Loss</x:v>
      </x:c>
    </x:row>
    <x:row r="72" ht="34" customHeight="1">
      <x:c r="A72" s="22" t="str">
        <x:v>Funds</x:v>
      </x:c>
      <x:c r="B72" s="23" t="str">
        <x:v>Budget</x:v>
      </x:c>
      <x:c r="C72" s="23" t="str">
        <x:v>Actual</x:v>
      </x:c>
      <x:c r="D72" s="23" t="str">
        <x:v>Variance</x:v>
      </x:c>
      <x:c r="E72" s="23" t="str">
        <x:v>Budget</x:v>
      </x:c>
      <x:c r="F72" s="23" t="str">
        <x:v>Actual</x:v>
      </x:c>
      <x:c r="G72" s="23" t="str">
        <x:v>Variance</x:v>
      </x:c>
      <x:c r="H72" s="23" t="str">
        <x:v>Net Variance</x:v>
      </x:c>
    </x:row>
    <x:row r="73" ht="23" customHeight="1">
      <x:c r="A73" s="27" t="str">
        <x:v>Fund 1</x:v>
      </x:c>
      <x:c r="B73" s="29"/>
      <x:c r="C73" s="29"/>
      <x:c r="D73" s="31" t="str">
        <x:f>IF(COUNT(C73,B73)=2,C73-B73,"")</x:f>
      </x:c>
      <x:c r="E73" s="29"/>
      <x:c r="F73" s="29"/>
      <x:c r="G73" s="31" t="str">
        <x:f>IF(COUNT(F73,E73)=2,F73-E73,"")</x:f>
      </x:c>
      <x:c r="H73" s="31" t="str">
        <x:f>IF(COUNT(D73,G73)=2,D73-G73,"")</x:f>
      </x:c>
    </x:row>
    <x:row r="74" ht="23" customHeight="1">
      <x:c r="A74" s="34" t="str">
        <x:v>MTD Total</x:v>
      </x:c>
      <x:c r="B74" s="35" t="str">
        <x:f>IF(ISNUMBER(B73),B73,"")</x:f>
      </x:c>
      <x:c r="C74" s="35" t="str">
        <x:f>IF(ISNUMBER(C73),C73,"")</x:f>
      </x:c>
      <x:c r="D74" s="35" t="str">
        <x:f>IF(COUNT(C74,B74)=2,C74-B74,"")</x:f>
      </x:c>
      <x:c r="E74" s="35" t="str">
        <x:f>IF(ISNUMBER(E73),E73,"")</x:f>
      </x:c>
      <x:c r="F74" s="35" t="str">
        <x:f>IF(ISNUMBER(F73),F73,"")</x:f>
      </x:c>
      <x:c r="G74" s="35" t="str">
        <x:f>IF(COUNT(F74,E74)=2,F74-E74,"")</x:f>
      </x:c>
      <x:c r="H74" s="35" t="str">
        <x:f>IF(COUNT(D74,G74)=2,D74-G74,"")</x:f>
      </x:c>
    </x:row>
    <x:row r="75" ht="23" customHeight="1">
      <x:c r="A75" s="34" t="str">
        <x:v>YTD Total</x:v>
      </x:c>
      <x:c r="B75" s="35" t="str">
        <x:f>IF(COUNT(B4,B11,B18,B25,B32,B39,B46,B53,B60,B67,B74)=0,"",SUM(B4,B11,B18,B25,B32,B39,B46,B53,B60,B67,B74))</x:f>
      </x:c>
      <x:c r="C75" s="35" t="str">
        <x:f>IF(COUNT(C4,C11,C18,C25,C32,C39,C46,C53,C60,C67,C74)=0,"",SUM(C4,C11,C18,C25,C32,C39,C46,C53,C60,C67,C74))</x:f>
      </x:c>
      <x:c r="D75" s="35" t="str">
        <x:f>IF(COUNT(C75,B75)=2,C75-B75,"")</x:f>
      </x:c>
      <x:c r="E75" s="35" t="str">
        <x:f>IF(COUNT(E4,E11,E18,E25,E32,E39,E46,E53,E60,E67,E74)=0,"",SUM(E4,E11,E18,E25,E32,E39,E46,E53,E60,E67,E74))</x:f>
      </x:c>
      <x:c r="F75" s="35" t="str">
        <x:f>IF(COUNT(F4,F11,F18,F25,F32,F39,F46,F53,F60,F67,F74)=0,"",SUM(F4,F11,F18,F25,F32,F39,F46,F53,F60,F67,F74))</x:f>
      </x:c>
      <x:c r="G75" s="35" t="str">
        <x:f>IF(COUNT(F75,E75)=2,F75-E75,"")</x:f>
      </x:c>
      <x:c r="H75" s="35" t="str">
        <x:f>IF(COUNT(D75,G75)=2,D75-G75,"")</x:f>
      </x:c>
    </x:row>
    <x:row r="76" ht="23" customHeight="1">
      <x:c r="A76" s="2"/>
      <x:c r="B76" s="4"/>
      <x:c r="C76" s="4"/>
      <x:c r="D76" s="4"/>
      <x:c r="E76" s="4"/>
      <x:c r="F76" s="4"/>
      <x:c r="G76" s="4"/>
      <x:c r="H76" s="4"/>
    </x:row>
    <x:row r="77" ht="23" customHeight="1">
      <x:c r="A77" s="2"/>
      <x:c r="B77" s="4"/>
      <x:c r="C77" s="4"/>
      <x:c r="D77" s="4"/>
      <x:c r="E77" s="4"/>
      <x:c r="F77" s="4"/>
      <x:c r="G77" s="4"/>
      <x:c r="H77" s="4"/>
    </x:row>
    <x:row r="78" ht="34" customHeight="1">
      <x:c r="A78" s="22" t="str">
        <x:v>Dec</x:v>
      </x:c>
      <x:c r="B78" s="23" t="str">
        <x:v>Income</x:v>
      </x:c>
      <x:c r="C78" s="23"/>
      <x:c r="D78" s="23"/>
      <x:c r="E78" s="23" t="str">
        <x:v>Expenses</x:v>
      </x:c>
      <x:c r="F78" s="23"/>
      <x:c r="G78" s="23"/>
      <x:c r="H78" s="23" t="str">
        <x:v>Profit/Loss</x:v>
      </x:c>
    </x:row>
    <x:row r="79" ht="34" customHeight="1">
      <x:c r="A79" s="22" t="str">
        <x:v>Funds</x:v>
      </x:c>
      <x:c r="B79" s="23" t="str">
        <x:v>Budget</x:v>
      </x:c>
      <x:c r="C79" s="23" t="str">
        <x:v>Actual</x:v>
      </x:c>
      <x:c r="D79" s="23" t="str">
        <x:v>Variance</x:v>
      </x:c>
      <x:c r="E79" s="23" t="str">
        <x:v>Budget</x:v>
      </x:c>
      <x:c r="F79" s="23" t="str">
        <x:v>Actual</x:v>
      </x:c>
      <x:c r="G79" s="23" t="str">
        <x:v>Variance</x:v>
      </x:c>
      <x:c r="H79" s="23" t="str">
        <x:v>Net Variance</x:v>
      </x:c>
    </x:row>
    <x:row r="80" ht="23" customHeight="1">
      <x:c r="A80" s="27" t="str">
        <x:v>Fund 1</x:v>
      </x:c>
      <x:c r="B80" s="29"/>
      <x:c r="C80" s="29"/>
      <x:c r="D80" s="31" t="str">
        <x:f>IF(COUNT(C80,B80)=2,C80-B80,"")</x:f>
      </x:c>
      <x:c r="E80" s="29"/>
      <x:c r="F80" s="29"/>
      <x:c r="G80" s="31" t="str">
        <x:f>IF(COUNT(F80,E80)=2,F80-E80,"")</x:f>
      </x:c>
      <x:c r="H80" s="31" t="str">
        <x:f>IF(COUNT(D80,G80)=2,D80-G80,"")</x:f>
      </x:c>
    </x:row>
    <x:row r="81" ht="23" customHeight="1">
      <x:c r="A81" s="34" t="str">
        <x:v>MTD Total</x:v>
      </x:c>
      <x:c r="B81" s="35" t="str">
        <x:f>IF(ISNUMBER(B80),B80,"")</x:f>
      </x:c>
      <x:c r="C81" s="35" t="str">
        <x:f>IF(ISNUMBER(C80),C80,"")</x:f>
      </x:c>
      <x:c r="D81" s="35" t="str">
        <x:f>IF(COUNT(C81,B81)=2,C81-B81,"")</x:f>
      </x:c>
      <x:c r="E81" s="35" t="str">
        <x:f>IF(ISNUMBER(E80),E80,"")</x:f>
      </x:c>
      <x:c r="F81" s="35" t="str">
        <x:f>IF(ISNUMBER(F80),F80,"")</x:f>
      </x:c>
      <x:c r="G81" s="35" t="str">
        <x:f>IF(COUNT(F81,E81)=2,F81-E81,"")</x:f>
      </x:c>
      <x:c r="H81" s="35" t="str">
        <x:f>IF(COUNT(D81,G81)=2,D81-G81,"")</x:f>
      </x:c>
    </x:row>
    <x:row r="82" ht="23" customHeight="1">
      <x:c r="A82" s="34" t="str">
        <x:v>YTD Total</x:v>
      </x:c>
      <x:c r="B82" s="35" t="str">
        <x:f>IF(COUNT(B4,B11,B18,B25,B32,B39,B46,B53,B60,B67,B74,B81)=0,"",SUM(B4,B11,B18,B25,B32,B39,B46,B53,B60,B67,B74,B81))</x:f>
      </x:c>
      <x:c r="C82" s="35" t="str">
        <x:f>IF(COUNT(C4,C11,C18,C25,C32,C39,C46,C53,C60,C67,C74,C81)=0,"",SUM(C4,C11,C18,C25,C32,C39,C46,C53,C60,C67,C74,C81))</x:f>
      </x:c>
      <x:c r="D82" s="35" t="str">
        <x:f>IF(COUNT(C82,B82)=2,C82-B82,"")</x:f>
      </x:c>
      <x:c r="E82" s="35" t="str">
        <x:f>IF(COUNT(E4,E11,E18,E25,E32,E39,E46,E53,E60,E67,E74,E81)=0,"",SUM(E4,E11,E18,E25,E32,E39,E46,E53,E60,E67,E74,E81))</x:f>
      </x:c>
      <x:c r="F82" s="35" t="str">
        <x:f>IF(COUNT(F4,F11,F18,F25,F32,F39,F46,F53,F60,F67,F74,F81)=0,"",SUM(F4,F11,F18,F25,F32,F39,F46,F53,F60,F67,F74,F81))</x:f>
      </x:c>
      <x:c r="G82" s="35" t="str">
        <x:f>IF(COUNT(F82,E82)=2,F82-E82,"")</x:f>
      </x:c>
      <x:c r="H82" s="35" t="str">
        <x:f>IF(COUNT(D82,G82)=2,D82-G82,"")</x:f>
      </x:c>
    </x:row>
    <x:row r="83" ht="23" customHeight="1">
      <x:c r="A83" s="2"/>
      <x:c r="B83" s="4"/>
      <x:c r="C83" s="4"/>
      <x:c r="D83" s="4"/>
      <x:c r="E83" s="4"/>
      <x:c r="F83" s="4"/>
      <x:c r="G83" s="4"/>
      <x:c r="H8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22" t="str">
        <x:v>Activity / category</x:v>
      </x:c>
      <x:c r="B1" s="37" t="str">
        <x:v>Jan</x:v>
      </x:c>
      <x:c r="C1" s="37" t="str">
        <x:v>Feb</x:v>
      </x:c>
      <x:c r="D1" s="37" t="str">
        <x:v>Mar</x:v>
      </x:c>
      <x:c r="E1" s="37" t="str">
        <x:v>Apr</x:v>
      </x:c>
      <x:c r="F1" s="37" t="str">
        <x:v>May</x:v>
      </x:c>
      <x:c r="G1" s="37" t="str">
        <x:v>Jun</x:v>
      </x:c>
      <x:c r="H1" s="37" t="str">
        <x:v>Jul</x:v>
      </x:c>
      <x:c r="I1" s="37" t="str">
        <x:v>Aug</x:v>
      </x:c>
      <x:c r="J1" s="37" t="str">
        <x:v>Sep</x:v>
      </x:c>
      <x:c r="K1" s="37" t="str">
        <x:v>Oct</x:v>
      </x:c>
      <x:c r="L1" s="37" t="str">
        <x:v>Nov</x:v>
      </x:c>
      <x:c r="M1" s="37" t="str">
        <x:v>Dec</x:v>
      </x:c>
      <x:c r="N1" s="37" t="str">
        <x:v>YTD</x:v>
      </x:c>
    </x:row>
    <x:row r="2" ht="23" customHeight="1">
      <x:c r="A2" s="27" t="str">
        <x:v>Badminton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 ht="23" customHeight="1">
      <x:c r="A3" s="27" t="str">
        <x:v>Casual visits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9" t="str">
        <x:f>IF(COUNT(B3:M3)=0,"",SUM(B3:M3))</x:f>
      </x:c>
    </x:row>
    <x:row r="4" ht="23" customHeight="1">
      <x:c r="A4" s="34" t="str">
        <x:v>Total</x:v>
      </x:c>
      <x:c r="B4" s="41" t="str">
        <x:f>IF(ISNUMBER(B3),B3,"")</x:f>
      </x:c>
      <x:c r="C4" s="41" t="str">
        <x:f>IF(ISNUMBER(C3),C3,"")</x:f>
      </x:c>
      <x:c r="D4" s="41" t="str">
        <x:f>IF(ISNUMBER(D3),D3,"")</x:f>
      </x:c>
      <x:c r="E4" s="41" t="str">
        <x:f>IF(ISNUMBER(E3),E3,"")</x:f>
      </x:c>
      <x:c r="F4" s="41" t="str">
        <x:f>IF(ISNUMBER(F3),F3,"")</x:f>
      </x:c>
      <x:c r="G4" s="41" t="str">
        <x:f>IF(ISNUMBER(G3),G3,"")</x:f>
      </x:c>
      <x:c r="H4" s="41" t="str">
        <x:f>IF(ISNUMBER(H3),H3,"")</x:f>
      </x:c>
      <x:c r="I4" s="41" t="str">
        <x:f>IF(ISNUMBER(I3),I3,"")</x:f>
      </x:c>
      <x:c r="J4" s="41" t="str">
        <x:f>IF(ISNUMBER(J3),J3,"")</x:f>
      </x:c>
      <x:c r="K4" s="41" t="str">
        <x:f>IF(ISNUMBER(K3),K3,"")</x:f>
      </x:c>
      <x:c r="L4" s="41" t="str">
        <x:f>IF(ISNUMBER(L3),L3,"")</x:f>
      </x:c>
      <x:c r="M4" s="41" t="str">
        <x:f>IF(ISNUMBER(M3),M3,"")</x:f>
      </x:c>
      <x:c r="N4" s="41" t="str">
        <x:f>IF(COUNT(B4:M4)=0,"",SUM(B4:M4))</x:f>
      </x:c>
    </x:row>
    <x:row r="5" ht="23" customHeight="1">
      <x:c r="A5" s="2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23" customHeight="1">
      <x:c r="A6" s="34" t="str">
        <x:v>Overall Total</x:v>
      </x:c>
      <x:c r="B6" s="41" t="str">
        <x:f>IF(ISNUMBER(B4),B4,"")</x:f>
      </x:c>
      <x:c r="C6" s="41" t="str">
        <x:f>IF(ISNUMBER(C4),C4,"")</x:f>
      </x:c>
      <x:c r="D6" s="41" t="str">
        <x:f>IF(ISNUMBER(D4),D4,"")</x:f>
      </x:c>
      <x:c r="E6" s="41" t="str">
        <x:f>IF(ISNUMBER(E4),E4,"")</x:f>
      </x:c>
      <x:c r="F6" s="41" t="str">
        <x:f>IF(ISNUMBER(F4),F4,"")</x:f>
      </x:c>
      <x:c r="G6" s="41" t="str">
        <x:f>IF(ISNUMBER(G4),G4,"")</x:f>
      </x:c>
      <x:c r="H6" s="41" t="str">
        <x:f>IF(ISNUMBER(H4),H4,"")</x:f>
      </x:c>
      <x:c r="I6" s="41" t="str">
        <x:f>IF(ISNUMBER(I4),I4,"")</x:f>
      </x:c>
      <x:c r="J6" s="41" t="str">
        <x:f>IF(ISNUMBER(J4),J4,"")</x:f>
      </x:c>
      <x:c r="K6" s="41" t="str">
        <x:f>IF(ISNUMBER(K4),K4,"")</x:f>
      </x:c>
      <x:c r="L6" s="41" t="str">
        <x:f>IF(ISNUMBER(L4),L4,"")</x:f>
      </x:c>
      <x:c r="M6" s="41" t="str">
        <x:f>IF(ISNUMBER(M4),M4,"")</x:f>
      </x:c>
      <x:c r="N6" s="41" t="str">
        <x:f>IF(COUNT(B6:M6)=0,"",SUM(B6:M6))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23" customHeight="1">
      <x:c r="A1" s="24" t="str">
        <x:v>Facility / category</x:v>
      </x:c>
      <x:c r="B1" s="42"/>
      <x:c r="C1" s="42" t="str">
        <x:v>Jan</x:v>
      </x:c>
      <x:c r="D1" s="43"/>
      <x:c r="E1" s="42" t="str">
        <x:v>Feb</x:v>
      </x:c>
      <x:c r="F1" s="43"/>
      <x:c r="G1" s="42" t="str">
        <x:v>Mar</x:v>
      </x:c>
      <x:c r="H1" s="43"/>
      <x:c r="I1" s="42" t="str">
        <x:v>Apr</x:v>
      </x:c>
      <x:c r="J1" s="43"/>
      <x:c r="K1" s="42" t="str">
        <x:v>May</x:v>
      </x:c>
      <x:c r="L1" s="43"/>
      <x:c r="M1" s="42" t="str">
        <x:v>Jun</x:v>
      </x:c>
      <x:c r="N1" s="43"/>
      <x:c r="O1" s="42" t="str">
        <x:v>Jul</x:v>
      </x:c>
      <x:c r="P1" s="43"/>
      <x:c r="Q1" s="42" t="str">
        <x:v>Aug</x:v>
      </x:c>
      <x:c r="R1" s="43"/>
      <x:c r="S1" s="42" t="str">
        <x:v>Sep</x:v>
      </x:c>
      <x:c r="T1" s="43"/>
      <x:c r="U1" s="42" t="str">
        <x:v>Oct</x:v>
      </x:c>
      <x:c r="V1" s="43"/>
      <x:c r="W1" s="42" t="str">
        <x:v>Nov</x:v>
      </x:c>
      <x:c r="X1" s="43"/>
      <x:c r="Y1" s="42" t="str">
        <x:v>Dec</x:v>
      </x:c>
      <x:c r="Z1" s="43"/>
      <x:c r="AA1" s="42" t="str">
        <x:v>YTD</x:v>
      </x:c>
      <x:c r="AB1" s="43"/>
    </x:row>
    <x:row r="2" ht="36" customHeight="1">
      <x:c r="A2" s="24" t="str">
        <x:v>Facility</x:v>
      </x:c>
      <x:c r="B2" s="4" t="str">
        <x:v>Cost</x:v>
      </x:c>
      <x:c r="C2" s="23" t="str">
        <x:v>MTD</x:v>
      </x:c>
      <x:c r="D2" s="37" t="str">
        <x:v># Transactions</x:v>
      </x:c>
      <x:c r="E2" s="23" t="str">
        <x:v>MTD</x:v>
      </x:c>
      <x:c r="F2" s="37" t="str">
        <x:v># Transactions</x:v>
      </x:c>
      <x:c r="G2" s="23" t="str">
        <x:v>MTD</x:v>
      </x:c>
      <x:c r="H2" s="37" t="str">
        <x:v># Transactions</x:v>
      </x:c>
      <x:c r="I2" s="23" t="str">
        <x:v>MTD</x:v>
      </x:c>
      <x:c r="J2" s="37" t="str">
        <x:v># Transactions</x:v>
      </x:c>
      <x:c r="K2" s="23" t="str">
        <x:v>MTD</x:v>
      </x:c>
      <x:c r="L2" s="37" t="str">
        <x:v># Transactions</x:v>
      </x:c>
      <x:c r="M2" s="23" t="str">
        <x:v>MTD</x:v>
      </x:c>
      <x:c r="N2" s="37" t="str">
        <x:v># Transactions</x:v>
      </x:c>
      <x:c r="O2" s="23" t="str">
        <x:v>MTD</x:v>
      </x:c>
      <x:c r="P2" s="37" t="str">
        <x:v># Transactions</x:v>
      </x:c>
      <x:c r="Q2" s="23" t="str">
        <x:v>MTD</x:v>
      </x:c>
      <x:c r="R2" s="37" t="str">
        <x:v># Transactions</x:v>
      </x:c>
      <x:c r="S2" s="23" t="str">
        <x:v>MTD</x:v>
      </x:c>
      <x:c r="T2" s="37" t="str">
        <x:v># Transactions</x:v>
      </x:c>
      <x:c r="U2" s="23" t="str">
        <x:v>MTD</x:v>
      </x:c>
      <x:c r="V2" s="37" t="str">
        <x:v># Transactions</x:v>
      </x:c>
      <x:c r="W2" s="23" t="str">
        <x:v>MTD</x:v>
      </x:c>
      <x:c r="X2" s="37" t="str">
        <x:v># Transactions</x:v>
      </x:c>
      <x:c r="Y2" s="23" t="str">
        <x:v>MTD</x:v>
      </x:c>
      <x:c r="Z2" s="37" t="str">
        <x:v># Transactions</x:v>
      </x:c>
      <x:c r="AA2" s="23" t="str">
        <x:v>YTD</x:v>
      </x:c>
      <x:c r="AB2" s="37" t="str">
        <x:v># Transactions</x:v>
      </x:c>
    </x:row>
    <x:row r="3" ht="23" customHeight="1">
      <x:c r="A3" s="27" t="str">
        <x:v>Sports hall</x:v>
      </x:c>
      <x:c r="B3" s="4"/>
      <x:c r="C3" s="4"/>
      <x:c r="D3" s="38"/>
      <x:c r="E3" s="4"/>
      <x:c r="F3" s="38"/>
      <x:c r="G3" s="4"/>
      <x:c r="H3" s="38"/>
      <x:c r="I3" s="4"/>
      <x:c r="J3" s="38"/>
      <x:c r="K3" s="4"/>
      <x:c r="L3" s="38"/>
      <x:c r="M3" s="4"/>
      <x:c r="N3" s="38"/>
      <x:c r="O3" s="4"/>
      <x:c r="P3" s="38"/>
      <x:c r="Q3" s="4"/>
      <x:c r="R3" s="38"/>
      <x:c r="S3" s="4"/>
      <x:c r="T3" s="38"/>
      <x:c r="U3" s="4"/>
      <x:c r="V3" s="38"/>
      <x:c r="W3" s="4"/>
      <x:c r="X3" s="38"/>
      <x:c r="Y3" s="4"/>
      <x:c r="Z3" s="38"/>
      <x:c r="AA3" s="4"/>
      <x:c r="AB3" s="38"/>
    </x:row>
    <x:row r="4" ht="23" customHeight="1">
      <x:c r="A4" s="27" t="str">
        <x:v>Casual hire</x:v>
      </x:c>
      <x:c r="B4" s="29"/>
      <x:c r="C4" s="29"/>
      <x:c r="D4" s="36"/>
      <x:c r="E4" s="29"/>
      <x:c r="F4" s="36"/>
      <x:c r="G4" s="29"/>
      <x:c r="H4" s="36"/>
      <x:c r="I4" s="29"/>
      <x:c r="J4" s="36"/>
      <x:c r="K4" s="29"/>
      <x:c r="L4" s="36"/>
      <x:c r="M4" s="29"/>
      <x:c r="N4" s="36"/>
      <x:c r="O4" s="29"/>
      <x:c r="P4" s="36"/>
      <x:c r="Q4" s="29"/>
      <x:c r="R4" s="36"/>
      <x:c r="S4" s="29"/>
      <x:c r="T4" s="36"/>
      <x:c r="U4" s="29"/>
      <x:c r="V4" s="36"/>
      <x:c r="W4" s="29"/>
      <x:c r="X4" s="36"/>
      <x:c r="Y4" s="29"/>
      <x:c r="Z4" s="36"/>
      <x:c r="AA4" s="31" t="str">
        <x:f>IF(COUNT(C4,E4,G4,I4,K4,M4,O4,Q4,S4,U4,W4,Y4)=0,"",SUM(C4,E4,G4,I4,K4,M4,O4,Q4,S4,U4,W4,Y4))</x:f>
      </x:c>
      <x:c r="AB4" s="39" t="str">
        <x:f>IF(COUNT(D4,F4,H4,J4,L4,N4,P4,R4,T4,V4,X4,Z4)=0,"",SUM(D4,F4,H4,J4,L4,N4,P4,R4,T4,V4,X4,Z4))</x:f>
      </x:c>
    </x:row>
    <x:row r="5" ht="23" customHeight="1">
      <x:c r="A5" s="34" t="str">
        <x:v>Total</x:v>
      </x:c>
      <x:c r="B5" s="45"/>
      <x:c r="C5" s="35" t="str">
        <x:f>IF(ISNUMBER(C4),C4,"")</x:f>
      </x:c>
      <x:c r="D5" s="41" t="str">
        <x:f>IF(ISNUMBER(D4),D4,"")</x:f>
      </x:c>
      <x:c r="E5" s="35" t="str">
        <x:f>IF(ISNUMBER(E4),E4,"")</x:f>
      </x:c>
      <x:c r="F5" s="41" t="str">
        <x:f>IF(ISNUMBER(F4),F4,"")</x:f>
      </x:c>
      <x:c r="G5" s="35" t="str">
        <x:f>IF(ISNUMBER(G4),G4,"")</x:f>
      </x:c>
      <x:c r="H5" s="41" t="str">
        <x:f>IF(ISNUMBER(H4),H4,"")</x:f>
      </x:c>
      <x:c r="I5" s="35" t="str">
        <x:f>IF(ISNUMBER(I4),I4,"")</x:f>
      </x:c>
      <x:c r="J5" s="41" t="str">
        <x:f>IF(ISNUMBER(J4),J4,"")</x:f>
      </x:c>
      <x:c r="K5" s="35" t="str">
        <x:f>IF(ISNUMBER(K4),K4,"")</x:f>
      </x:c>
      <x:c r="L5" s="41" t="str">
        <x:f>IF(ISNUMBER(L4),L4,"")</x:f>
      </x:c>
      <x:c r="M5" s="35" t="str">
        <x:f>IF(ISNUMBER(M4),M4,"")</x:f>
      </x:c>
      <x:c r="N5" s="41" t="str">
        <x:f>IF(ISNUMBER(N4),N4,"")</x:f>
      </x:c>
      <x:c r="O5" s="35" t="str">
        <x:f>IF(ISNUMBER(O4),O4,"")</x:f>
      </x:c>
      <x:c r="P5" s="41" t="str">
        <x:f>IF(ISNUMBER(P4),P4,"")</x:f>
      </x:c>
      <x:c r="Q5" s="35" t="str">
        <x:f>IF(ISNUMBER(Q4),Q4,"")</x:f>
      </x:c>
      <x:c r="R5" s="41" t="str">
        <x:f>IF(ISNUMBER(R4),R4,"")</x:f>
      </x:c>
      <x:c r="S5" s="35" t="str">
        <x:f>IF(ISNUMBER(S4),S4,"")</x:f>
      </x:c>
      <x:c r="T5" s="41" t="str">
        <x:f>IF(ISNUMBER(T4),T4,"")</x:f>
      </x:c>
      <x:c r="U5" s="35" t="str">
        <x:f>IF(ISNUMBER(U4),U4,"")</x:f>
      </x:c>
      <x:c r="V5" s="41" t="str">
        <x:f>IF(ISNUMBER(V4),V4,"")</x:f>
      </x:c>
      <x:c r="W5" s="35" t="str">
        <x:f>IF(ISNUMBER(W4),W4,"")</x:f>
      </x:c>
      <x:c r="X5" s="41" t="str">
        <x:f>IF(ISNUMBER(X4),X4,"")</x:f>
      </x:c>
      <x:c r="Y5" s="35" t="str">
        <x:f>IF(ISNUMBER(Y4),Y4,"")</x:f>
      </x:c>
      <x:c r="Z5" s="41" t="str">
        <x:f>IF(ISNUMBER(Z4),Z4,"")</x:f>
      </x:c>
      <x:c r="AA5" s="35" t="str">
        <x:f>IF(ISNUMBER(AA4),AA4,"")</x:f>
      </x:c>
      <x:c r="AB5" s="41" t="str">
        <x:f>IF(ISNUMBER(AB4),AB4,"")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3" customHeight="1">
      <x:c r="A1" s="2" t="str">
        <x:v>Membership</x:v>
      </x:c>
      <x:c r="B1" s="43" t="str">
        <x:v>Jan</x:v>
      </x:c>
      <x:c r="C1" s="43"/>
      <x:c r="D1" s="43"/>
      <x:c r="E1" s="43"/>
      <x:c r="F1" s="43" t="str">
        <x:v>Feb</x:v>
      </x:c>
      <x:c r="G1" s="43"/>
      <x:c r="H1" s="43"/>
      <x:c r="I1" s="43"/>
      <x:c r="J1" s="43" t="str">
        <x:v>Mar</x:v>
      </x:c>
      <x:c r="K1" s="43"/>
      <x:c r="L1" s="43"/>
      <x:c r="M1" s="43"/>
      <x:c r="N1" s="43" t="str">
        <x:v>Apr</x:v>
      </x:c>
      <x:c r="O1" s="43"/>
      <x:c r="P1" s="43"/>
      <x:c r="Q1" s="43"/>
      <x:c r="R1" s="43" t="str">
        <x:v>May</x:v>
      </x:c>
      <x:c r="S1" s="43"/>
      <x:c r="T1" s="43"/>
      <x:c r="U1" s="43"/>
      <x:c r="V1" s="43" t="str">
        <x:v>Jun</x:v>
      </x:c>
      <x:c r="W1" s="43"/>
      <x:c r="X1" s="43"/>
      <x:c r="Y1" s="43"/>
      <x:c r="Z1" s="43" t="str">
        <x:v>Jul</x:v>
      </x:c>
      <x:c r="AA1" s="43"/>
      <x:c r="AB1" s="43"/>
      <x:c r="AC1" s="43"/>
      <x:c r="AD1" s="43" t="str">
        <x:v>Aug</x:v>
      </x:c>
      <x:c r="AE1" s="43"/>
      <x:c r="AF1" s="43"/>
      <x:c r="AG1" s="43"/>
      <x:c r="AH1" s="43" t="str">
        <x:v>Sep</x:v>
      </x:c>
      <x:c r="AI1" s="43"/>
      <x:c r="AJ1" s="43"/>
      <x:c r="AK1" s="43"/>
      <x:c r="AL1" s="43" t="str">
        <x:v>Oct</x:v>
      </x:c>
      <x:c r="AM1" s="43"/>
      <x:c r="AN1" s="43"/>
      <x:c r="AO1" s="43"/>
      <x:c r="AP1" s="43" t="str">
        <x:v>Nov</x:v>
      </x:c>
      <x:c r="AQ1" s="43"/>
      <x:c r="AR1" s="43"/>
      <x:c r="AS1" s="43"/>
      <x:c r="AT1" s="43" t="str">
        <x:v>Dec</x:v>
      </x:c>
      <x:c r="AU1" s="43"/>
      <x:c r="AV1" s="43"/>
      <x:c r="AW1" s="43"/>
      <x:c r="AX1" s="43" t="str">
        <x:v>Total</x:v>
      </x:c>
      <x:c r="AY1" s="43"/>
      <x:c r="AZ1" s="43"/>
      <x:c r="BA1" s="43"/>
    </x:row>
    <x:row r="2" ht="33" customHeight="1">
      <x:c r="A2" s="2"/>
      <x:c r="B2" s="47" t="str">
        <x:v>New</x:v>
      </x:c>
      <x:c r="C2" s="47" t="str">
        <x:v>Renewed</x:v>
      </x:c>
      <x:c r="D2" s="47" t="str">
        <x:v>Total</x:v>
      </x:c>
      <x:c r="E2" s="47" t="str">
        <x:v>Active</x:v>
      </x:c>
      <x:c r="F2" s="47" t="str">
        <x:v>New</x:v>
      </x:c>
      <x:c r="G2" s="47" t="str">
        <x:v>Renewed</x:v>
      </x:c>
      <x:c r="H2" s="47" t="str">
        <x:v>Total</x:v>
      </x:c>
      <x:c r="I2" s="47" t="str">
        <x:v>Active</x:v>
      </x:c>
      <x:c r="J2" s="47" t="str">
        <x:v>New</x:v>
      </x:c>
      <x:c r="K2" s="47" t="str">
        <x:v>Renewed</x:v>
      </x:c>
      <x:c r="L2" s="47" t="str">
        <x:v>Total</x:v>
      </x:c>
      <x:c r="M2" s="47" t="str">
        <x:v>Active</x:v>
      </x:c>
      <x:c r="N2" s="47" t="str">
        <x:v>New</x:v>
      </x:c>
      <x:c r="O2" s="47" t="str">
        <x:v>Renewed</x:v>
      </x:c>
      <x:c r="P2" s="47" t="str">
        <x:v>Total</x:v>
      </x:c>
      <x:c r="Q2" s="47" t="str">
        <x:v>Active</x:v>
      </x:c>
      <x:c r="R2" s="47" t="str">
        <x:v>New</x:v>
      </x:c>
      <x:c r="S2" s="47" t="str">
        <x:v>Renewed</x:v>
      </x:c>
      <x:c r="T2" s="47" t="str">
        <x:v>Total</x:v>
      </x:c>
      <x:c r="U2" s="47" t="str">
        <x:v>Active</x:v>
      </x:c>
      <x:c r="V2" s="47" t="str">
        <x:v>New</x:v>
      </x:c>
      <x:c r="W2" s="47" t="str">
        <x:v>Renewed</x:v>
      </x:c>
      <x:c r="X2" s="47" t="str">
        <x:v>Total</x:v>
      </x:c>
      <x:c r="Y2" s="47" t="str">
        <x:v>Active</x:v>
      </x:c>
      <x:c r="Z2" s="47" t="str">
        <x:v>New</x:v>
      </x:c>
      <x:c r="AA2" s="47" t="str">
        <x:v>Renewed</x:v>
      </x:c>
      <x:c r="AB2" s="47" t="str">
        <x:v>Total</x:v>
      </x:c>
      <x:c r="AC2" s="47" t="str">
        <x:v>Active</x:v>
      </x:c>
      <x:c r="AD2" s="47" t="str">
        <x:v>New</x:v>
      </x:c>
      <x:c r="AE2" s="47" t="str">
        <x:v>Renewed</x:v>
      </x:c>
      <x:c r="AF2" s="47" t="str">
        <x:v>Total</x:v>
      </x:c>
      <x:c r="AG2" s="47" t="str">
        <x:v>Active</x:v>
      </x:c>
      <x:c r="AH2" s="47" t="str">
        <x:v>New</x:v>
      </x:c>
      <x:c r="AI2" s="47" t="str">
        <x:v>Renewed</x:v>
      </x:c>
      <x:c r="AJ2" s="47" t="str">
        <x:v>Total</x:v>
      </x:c>
      <x:c r="AK2" s="47" t="str">
        <x:v>Active</x:v>
      </x:c>
      <x:c r="AL2" s="47" t="str">
        <x:v>New</x:v>
      </x:c>
      <x:c r="AM2" s="47" t="str">
        <x:v>Renewed</x:v>
      </x:c>
      <x:c r="AN2" s="47" t="str">
        <x:v>Total</x:v>
      </x:c>
      <x:c r="AO2" s="47" t="str">
        <x:v>Active</x:v>
      </x:c>
      <x:c r="AP2" s="47" t="str">
        <x:v>New</x:v>
      </x:c>
      <x:c r="AQ2" s="47" t="str">
        <x:v>Renewed</x:v>
      </x:c>
      <x:c r="AR2" s="47" t="str">
        <x:v>Total</x:v>
      </x:c>
      <x:c r="AS2" s="47" t="str">
        <x:v>Active</x:v>
      </x:c>
      <x:c r="AT2" s="47" t="str">
        <x:v>New</x:v>
      </x:c>
      <x:c r="AU2" s="47" t="str">
        <x:v>Renewed</x:v>
      </x:c>
      <x:c r="AV2" s="47" t="str">
        <x:v>Total</x:v>
      </x:c>
      <x:c r="AW2" s="47" t="str">
        <x:v>Active</x:v>
      </x:c>
      <x:c r="AX2" s="47" t="str">
        <x:v>New</x:v>
      </x:c>
      <x:c r="AY2" s="47" t="str">
        <x:v>Renewed</x:v>
      </x:c>
      <x:c r="AZ2" s="47" t="str">
        <x:v>Total</x:v>
      </x:c>
      <x:c r="BA2" s="47" t="str">
        <x:v>Active</x:v>
      </x:c>
    </x:row>
    <x:row r="3" ht="23" customHeight="1">
      <x:c r="A3" s="2" t="str">
        <x:v>Fitness</x:v>
      </x:c>
      <x:c r="B3" s="39" t="str">
        <x:f>IF(ISNUMBER(B4),B4,"")</x:f>
      </x:c>
      <x:c r="C3" s="39" t="str">
        <x:f>IF(ISNUMBER(C4),C4,"")</x:f>
      </x:c>
      <x:c r="D3" s="39" t="str">
        <x:f>IF(ISNUMBER(D4),D4,"")</x:f>
      </x:c>
      <x:c r="E3" s="39" t="str">
        <x:f>IF(ISNUMBER(E4),E4,"")</x:f>
      </x:c>
      <x:c r="F3" s="39" t="str">
        <x:f>IF(ISNUMBER(F4),F4,"")</x:f>
      </x:c>
      <x:c r="G3" s="39" t="str">
        <x:f>IF(ISNUMBER(G4),G4,"")</x:f>
      </x:c>
      <x:c r="H3" s="39" t="str">
        <x:f>IF(ISNUMBER(H4),H4,"")</x:f>
      </x:c>
      <x:c r="I3" s="39" t="str">
        <x:f>IF(ISNUMBER(I4),I4,"")</x:f>
      </x:c>
      <x:c r="J3" s="39" t="str">
        <x:f>IF(ISNUMBER(J4),J4,"")</x:f>
      </x:c>
      <x:c r="K3" s="39" t="str">
        <x:f>IF(ISNUMBER(K4),K4,"")</x:f>
      </x:c>
      <x:c r="L3" s="39" t="str">
        <x:f>IF(ISNUMBER(L4),L4,"")</x:f>
      </x:c>
      <x:c r="M3" s="39" t="str">
        <x:f>IF(ISNUMBER(M4),M4,"")</x:f>
      </x:c>
      <x:c r="N3" s="39" t="str">
        <x:f>IF(ISNUMBER(N4),N4,"")</x:f>
      </x:c>
      <x:c r="O3" s="39" t="str">
        <x:f>IF(ISNUMBER(O4),O4,"")</x:f>
      </x:c>
      <x:c r="P3" s="39" t="str">
        <x:f>IF(ISNUMBER(P4),P4,"")</x:f>
      </x:c>
      <x:c r="Q3" s="39" t="str">
        <x:f>IF(ISNUMBER(Q4),Q4,"")</x:f>
      </x:c>
      <x:c r="R3" s="39" t="str">
        <x:f>IF(ISNUMBER(R4),R4,"")</x:f>
      </x:c>
      <x:c r="S3" s="39" t="str">
        <x:f>IF(ISNUMBER(S4),S4,"")</x:f>
      </x:c>
      <x:c r="T3" s="39" t="str">
        <x:f>IF(ISNUMBER(T4),T4,"")</x:f>
      </x:c>
      <x:c r="U3" s="39" t="str">
        <x:f>IF(ISNUMBER(U4),U4,"")</x:f>
      </x:c>
      <x:c r="V3" s="39" t="str">
        <x:f>IF(ISNUMBER(V4),V4,"")</x:f>
      </x:c>
      <x:c r="W3" s="39" t="str">
        <x:f>IF(ISNUMBER(W4),W4,"")</x:f>
      </x:c>
      <x:c r="X3" s="39" t="str">
        <x:f>IF(ISNUMBER(X4),X4,"")</x:f>
      </x:c>
      <x:c r="Y3" s="39" t="str">
        <x:f>IF(ISNUMBER(Y4),Y4,"")</x:f>
      </x:c>
      <x:c r="Z3" s="39" t="str">
        <x:f>IF(ISNUMBER(Z4),Z4,"")</x:f>
      </x:c>
      <x:c r="AA3" s="39" t="str">
        <x:f>IF(ISNUMBER(AA4),AA4,"")</x:f>
      </x:c>
      <x:c r="AB3" s="39" t="str">
        <x:f>IF(ISNUMBER(AB4),AB4,"")</x:f>
      </x:c>
      <x:c r="AC3" s="39" t="str">
        <x:f>IF(ISNUMBER(AC4),AC4,"")</x:f>
      </x:c>
      <x:c r="AD3" s="39" t="str">
        <x:f>IF(ISNUMBER(AD4),AD4,"")</x:f>
      </x:c>
      <x:c r="AE3" s="39" t="str">
        <x:f>IF(ISNUMBER(AE4),AE4,"")</x:f>
      </x:c>
      <x:c r="AF3" s="39" t="str">
        <x:f>IF(ISNUMBER(AF4),AF4,"")</x:f>
      </x:c>
      <x:c r="AG3" s="39" t="str">
        <x:f>IF(ISNUMBER(AG4),AG4,"")</x:f>
      </x:c>
      <x:c r="AH3" s="39" t="str">
        <x:f>IF(ISNUMBER(AH4),AH4,"")</x:f>
      </x:c>
      <x:c r="AI3" s="39" t="str">
        <x:f>IF(ISNUMBER(AI4),AI4,"")</x:f>
      </x:c>
      <x:c r="AJ3" s="39" t="str">
        <x:f>IF(ISNUMBER(AJ4),AJ4,"")</x:f>
      </x:c>
      <x:c r="AK3" s="39" t="str">
        <x:f>IF(ISNUMBER(AK4),AK4,"")</x:f>
      </x:c>
      <x:c r="AL3" s="39" t="str">
        <x:f>IF(ISNUMBER(AL4),AL4,"")</x:f>
      </x:c>
      <x:c r="AM3" s="39" t="str">
        <x:f>IF(ISNUMBER(AM4),AM4,"")</x:f>
      </x:c>
      <x:c r="AN3" s="39" t="str">
        <x:f>IF(ISNUMBER(AN4),AN4,"")</x:f>
      </x:c>
      <x:c r="AO3" s="39" t="str">
        <x:f>IF(ISNUMBER(AO4),AO4,"")</x:f>
      </x:c>
      <x:c r="AP3" s="39" t="str">
        <x:f>IF(ISNUMBER(AP4),AP4,"")</x:f>
      </x:c>
      <x:c r="AQ3" s="39" t="str">
        <x:f>IF(ISNUMBER(AQ4),AQ4,"")</x:f>
      </x:c>
      <x:c r="AR3" s="39" t="str">
        <x:f>IF(ISNUMBER(AR4),AR4,"")</x:f>
      </x:c>
      <x:c r="AS3" s="39" t="str">
        <x:f>IF(ISNUMBER(AS4),AS4,"")</x:f>
      </x:c>
      <x:c r="AT3" s="39" t="str">
        <x:f>IF(ISNUMBER(AT4),AT4,"")</x:f>
      </x:c>
      <x:c r="AU3" s="39" t="str">
        <x:f>IF(ISNUMBER(AU4),AU4,"")</x:f>
      </x:c>
      <x:c r="AV3" s="39" t="str">
        <x:f>IF(ISNUMBER(AV4),AV4,"")</x:f>
      </x:c>
      <x:c r="AW3" s="39" t="str">
        <x:f>IF(ISNUMBER(AW4),AW4,"")</x:f>
      </x:c>
      <x:c r="AX3" s="39" t="str">
        <x:f>IF(ISNUMBER(AX4),AX4,"")</x:f>
      </x:c>
      <x:c r="AY3" s="39" t="str">
        <x:f>IF(ISNUMBER(AY4),AY4,"")</x:f>
      </x:c>
      <x:c r="AZ3" s="39" t="str">
        <x:f>IF(ISNUMBER(AZ4),AZ4,"")</x:f>
      </x:c>
      <x:c r="BA3" s="39" t="str">
        <x:f>IF(ISNUMBER(BA4),BA4,"")</x:f>
      </x:c>
    </x:row>
    <x:row r="4" ht="23" customHeight="1">
      <x:c r="A4" s="27" t="str">
        <x:v>Membership 1</x:v>
      </x:c>
      <x:c r="B4" s="36"/>
      <x:c r="C4" s="36"/>
      <x:c r="D4" s="39" t="str">
        <x:f>IF(COUNT(B4,C4)=2,SUM(B4,C4),"")</x:f>
      </x:c>
      <x:c r="E4" s="36"/>
      <x:c r="F4" s="36"/>
      <x:c r="G4" s="36"/>
      <x:c r="H4" s="39" t="str">
        <x:f>IF(COUNT(F4,G4)=2,SUM(F4,G4),"")</x:f>
      </x:c>
      <x:c r="I4" s="36"/>
      <x:c r="J4" s="36"/>
      <x:c r="K4" s="36"/>
      <x:c r="L4" s="39" t="str">
        <x:f>IF(COUNT(J4,K4)=2,SUM(J4,K4),"")</x:f>
      </x:c>
      <x:c r="M4" s="36"/>
      <x:c r="N4" s="36"/>
      <x:c r="O4" s="36"/>
      <x:c r="P4" s="39" t="str">
        <x:f>IF(COUNT(N4,O4)=2,SUM(N4,O4),"")</x:f>
      </x:c>
      <x:c r="Q4" s="36"/>
      <x:c r="R4" s="36"/>
      <x:c r="S4" s="36"/>
      <x:c r="T4" s="39" t="str">
        <x:f>IF(COUNT(R4,S4)=2,SUM(R4,S4),"")</x:f>
      </x:c>
      <x:c r="U4" s="36"/>
      <x:c r="V4" s="36"/>
      <x:c r="W4" s="36"/>
      <x:c r="X4" s="39" t="str">
        <x:f>IF(COUNT(V4,W4)=2,SUM(V4,W4),"")</x:f>
      </x:c>
      <x:c r="Y4" s="36"/>
      <x:c r="Z4" s="36"/>
      <x:c r="AA4" s="36"/>
      <x:c r="AB4" s="39" t="str">
        <x:f>IF(COUNT(Z4,AA4)=2,SUM(Z4,AA4),"")</x:f>
      </x:c>
      <x:c r="AC4" s="36"/>
      <x:c r="AD4" s="36"/>
      <x:c r="AE4" s="36"/>
      <x:c r="AF4" s="39" t="str">
        <x:f>IF(COUNT(AD4,AE4)=2,SUM(AD4,AE4),"")</x:f>
      </x:c>
      <x:c r="AG4" s="36"/>
      <x:c r="AH4" s="36"/>
      <x:c r="AI4" s="36"/>
      <x:c r="AJ4" s="39" t="str">
        <x:f>IF(COUNT(AH4,AI4)=2,SUM(AH4,AI4),"")</x:f>
      </x:c>
      <x:c r="AK4" s="36"/>
      <x:c r="AL4" s="36"/>
      <x:c r="AM4" s="36"/>
      <x:c r="AN4" s="39" t="str">
        <x:f>IF(COUNT(AL4,AM4)=2,SUM(AL4,AM4),"")</x:f>
      </x:c>
      <x:c r="AO4" s="36"/>
      <x:c r="AP4" s="36"/>
      <x:c r="AQ4" s="36"/>
      <x:c r="AR4" s="39" t="str">
        <x:f>IF(COUNT(AP4,AQ4)=2,SUM(AP4,AQ4),"")</x:f>
      </x:c>
      <x:c r="AS4" s="36"/>
      <x:c r="AT4" s="36"/>
      <x:c r="AU4" s="36"/>
      <x:c r="AV4" s="39" t="str">
        <x:f>IF(COUNT(AT4,AU4)=2,SUM(AT4,AU4),"")</x:f>
      </x:c>
      <x:c r="AW4" s="36"/>
      <x:c r="AX4" s="39" t="str">
        <x:f>IF(COUNT(B4,F4,J4,N4,R4,V4,Z4,AD4,AH4,AL4,AP4,AT4)=0,"",SUM(B4,F4,J4,N4,R4,V4,Z4,AD4,AH4,AL4,AP4,AT4))</x:f>
      </x:c>
      <x:c r="AY4" s="39" t="str">
        <x:f>IF(COUNT(C4,G4,K4,O4,S4,W4,AA4,AE4,AI4,AM4,AQ4,AU4)=0,"",SUM(C4,G4,K4,O4,S4,W4,AA4,AE4,AI4,AM4,AQ4,AU4))</x:f>
      </x:c>
      <x:c r="AZ4" s="39" t="str">
        <x:f>IF(COUNT(D4,H4,L4,P4,T4,X4,AB4,AF4,AJ4,AN4,AR4,AV4)=0,"",SUM(D4,H4,L4,P4,T4,X4,AB4,AF4,AJ4,AN4,AR4,AV4))</x:f>
      </x:c>
      <x:c r="BA4" s="39" t="str">
        <x:f>IF(ISNUMBER(AW4),AW4,"")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22" t="str">
        <x:v>Clayton</x:v>
      </x:c>
      <x:c r="B1" s="23" t="str">
        <x:v>Jan</x:v>
      </x:c>
      <x:c r="C1" s="23" t="str">
        <x:v>Feb</x:v>
      </x:c>
      <x:c r="D1" s="23" t="str">
        <x:v>Mar</x:v>
      </x:c>
      <x:c r="E1" s="23" t="str">
        <x:v>Apr</x:v>
      </x:c>
      <x:c r="F1" s="23" t="str">
        <x:v>May</x:v>
      </x:c>
      <x:c r="G1" s="23" t="str">
        <x:v>Jun</x:v>
      </x:c>
      <x:c r="H1" s="23" t="str">
        <x:v>Jul</x:v>
      </x:c>
      <x:c r="I1" s="23" t="str">
        <x:v>Aug</x:v>
      </x:c>
      <x:c r="J1" s="23" t="str">
        <x:v>Sep</x:v>
      </x:c>
      <x:c r="K1" s="23" t="str">
        <x:v>Oct</x:v>
      </x:c>
      <x:c r="L1" s="23" t="str">
        <x:v>Nov</x:v>
      </x:c>
      <x:c r="M1" s="23" t="str">
        <x:v>Dec</x:v>
      </x:c>
      <x:c r="N1" s="23" t="str">
        <x:v>YTD</x:v>
      </x:c>
    </x:row>
    <x:row r="2" ht="23" customHeight="1">
      <x:c r="A2" s="24" t="str">
        <x:v>Facility Hire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31" t="str">
        <x:f>IF(COUNT(B2:M2)=0,"",SUM(B2:M2))</x:f>
      </x:c>
    </x:row>
    <x:row r="3" ht="23" customHeight="1">
      <x:c r="A3" s="24" t="str">
        <x:v>Membership/Health &amp; Fitness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31" t="str">
        <x:f>IF(COUNT(B3:M3)=0,"",SUM(B3:M3))</x:f>
      </x:c>
    </x:row>
    <x:row r="4" ht="23" customHeight="1">
      <x:c r="A4" s="24" t="str">
        <x:v>DD Rejection Fees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31" t="str">
        <x:f>IF(COUNT(B4:M4)=0,"",SUM(B4:M4))</x:f>
      </x:c>
    </x:row>
    <x:row r="5" ht="23" customHeight="1">
      <x:c r="A5" s="34" t="str">
        <x:v>Total</x:v>
      </x:c>
      <x:c r="B5" s="35" t="str">
        <x:f>IF(COUNT(B2:B4)=3,SUM(B2:B4),"")</x:f>
      </x:c>
      <x:c r="C5" s="35" t="str">
        <x:f>IF(COUNT(C2:C4)=3,SUM(C2:C4),"")</x:f>
      </x:c>
      <x:c r="D5" s="35" t="str">
        <x:f>IF(COUNT(D2:D4)=3,SUM(D2:D4),"")</x:f>
      </x:c>
      <x:c r="E5" s="35" t="str">
        <x:f>IF(COUNT(E2:E4)=3,SUM(E2:E4),"")</x:f>
      </x:c>
      <x:c r="F5" s="35" t="str">
        <x:f>IF(COUNT(F2:F4)=3,SUM(F2:F4),"")</x:f>
      </x:c>
      <x:c r="G5" s="35" t="str">
        <x:f>IF(COUNT(G2:G4)=3,SUM(G2:G4),"")</x:f>
      </x:c>
      <x:c r="H5" s="35" t="str">
        <x:f>IF(COUNT(H2:H4)=3,SUM(H2:H4),"")</x:f>
      </x:c>
      <x:c r="I5" s="35" t="str">
        <x:f>IF(COUNT(I2:I4)=3,SUM(I2:I4),"")</x:f>
      </x:c>
      <x:c r="J5" s="35" t="str">
        <x:f>IF(COUNT(J2:J4)=3,SUM(J2:J4),"")</x:f>
      </x:c>
      <x:c r="K5" s="35" t="str">
        <x:f>IF(COUNT(K2:K4)=3,SUM(K2:K4),"")</x:f>
      </x:c>
      <x:c r="L5" s="35" t="str">
        <x:f>IF(COUNT(L2:L4)=3,SUM(L2:L4),"")</x:f>
      </x:c>
      <x:c r="M5" s="35" t="str">
        <x:f>IF(COUNT(M2:M4)=3,SUM(M2:M4),"")</x:f>
      </x:c>
      <x:c r="N5" s="35" t="str">
        <x:f>IF(COUNT(B5:M5)=0,"",SUM(B5:M5))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23" customHeight="1">
      <x:c r="A1" s="24" t="str">
        <x:v>Item</x:v>
      </x:c>
      <x:c r="B1" s="42"/>
      <x:c r="C1" s="42" t="str">
        <x:v>Jan</x:v>
      </x:c>
      <x:c r="D1" s="43"/>
      <x:c r="E1" s="42" t="str">
        <x:v>Feb</x:v>
      </x:c>
      <x:c r="F1" s="43"/>
      <x:c r="G1" s="42" t="str">
        <x:v>Mar</x:v>
      </x:c>
      <x:c r="H1" s="43"/>
      <x:c r="I1" s="42" t="str">
        <x:v>Apr</x:v>
      </x:c>
      <x:c r="J1" s="43"/>
      <x:c r="K1" s="42" t="str">
        <x:v>May</x:v>
      </x:c>
      <x:c r="L1" s="43"/>
      <x:c r="M1" s="42" t="str">
        <x:v>Jun</x:v>
      </x:c>
      <x:c r="N1" s="43"/>
      <x:c r="O1" s="42" t="str">
        <x:v>Jul</x:v>
      </x:c>
      <x:c r="P1" s="43"/>
      <x:c r="Q1" s="42" t="str">
        <x:v>Aug</x:v>
      </x:c>
      <x:c r="R1" s="43"/>
      <x:c r="S1" s="42" t="str">
        <x:v>Sep</x:v>
      </x:c>
      <x:c r="T1" s="43"/>
      <x:c r="U1" s="42" t="str">
        <x:v>Oct</x:v>
      </x:c>
      <x:c r="V1" s="43"/>
      <x:c r="W1" s="42" t="str">
        <x:v>Nov</x:v>
      </x:c>
      <x:c r="X1" s="43"/>
      <x:c r="Y1" s="42" t="str">
        <x:v>Dec</x:v>
      </x:c>
      <x:c r="Z1" s="43"/>
      <x:c r="AA1" s="42" t="str">
        <x:v>YTD</x:v>
      </x:c>
      <x:c r="AB1" s="43"/>
    </x:row>
    <x:row r="2" ht="36" customHeight="1">
      <x:c r="A2" s="24" t="str">
        <x:v>EQUIPMENT SALES</x:v>
      </x:c>
      <x:c r="B2" s="4" t="str">
        <x:v>Cost</x:v>
      </x:c>
      <x:c r="C2" s="23" t="str">
        <x:v>MTD</x:v>
      </x:c>
      <x:c r="D2" s="37" t="str">
        <x:v># Transactions</x:v>
      </x:c>
      <x:c r="E2" s="23" t="str">
        <x:v>MTD</x:v>
      </x:c>
      <x:c r="F2" s="37" t="str">
        <x:v># Transactions</x:v>
      </x:c>
      <x:c r="G2" s="23" t="str">
        <x:v>MTD</x:v>
      </x:c>
      <x:c r="H2" s="37" t="str">
        <x:v># Transactions</x:v>
      </x:c>
      <x:c r="I2" s="23" t="str">
        <x:v>MTD</x:v>
      </x:c>
      <x:c r="J2" s="37" t="str">
        <x:v># Transactions</x:v>
      </x:c>
      <x:c r="K2" s="23" t="str">
        <x:v>MTD</x:v>
      </x:c>
      <x:c r="L2" s="37" t="str">
        <x:v># Transactions</x:v>
      </x:c>
      <x:c r="M2" s="23" t="str">
        <x:v>MTD</x:v>
      </x:c>
      <x:c r="N2" s="37" t="str">
        <x:v># Transactions</x:v>
      </x:c>
      <x:c r="O2" s="23" t="str">
        <x:v>MTD</x:v>
      </x:c>
      <x:c r="P2" s="37" t="str">
        <x:v># Transactions</x:v>
      </x:c>
      <x:c r="Q2" s="23" t="str">
        <x:v>MTD</x:v>
      </x:c>
      <x:c r="R2" s="37" t="str">
        <x:v># Transactions</x:v>
      </x:c>
      <x:c r="S2" s="23" t="str">
        <x:v>MTD</x:v>
      </x:c>
      <x:c r="T2" s="37" t="str">
        <x:v># Transactions</x:v>
      </x:c>
      <x:c r="U2" s="23" t="str">
        <x:v>MTD</x:v>
      </x:c>
      <x:c r="V2" s="37" t="str">
        <x:v># Transactions</x:v>
      </x:c>
      <x:c r="W2" s="23" t="str">
        <x:v>MTD</x:v>
      </x:c>
      <x:c r="X2" s="37" t="str">
        <x:v># Transactions</x:v>
      </x:c>
      <x:c r="Y2" s="23" t="str">
        <x:v>MTD</x:v>
      </x:c>
      <x:c r="Z2" s="37" t="str">
        <x:v># Transactions</x:v>
      </x:c>
      <x:c r="AA2" s="23" t="str">
        <x:v>YTD</x:v>
      </x:c>
      <x:c r="AB2" s="37" t="str">
        <x:v># Transactions</x:v>
      </x:c>
    </x:row>
    <x:row r="3" ht="23" customHeight="1">
      <x:c r="A3" s="27" t="str">
        <x:v>Item 1</x:v>
      </x:c>
      <x:c r="B3" s="29"/>
      <x:c r="C3" s="29"/>
      <x:c r="D3" s="36"/>
      <x:c r="E3" s="29"/>
      <x:c r="F3" s="36"/>
      <x:c r="G3" s="29"/>
      <x:c r="H3" s="36"/>
      <x:c r="I3" s="29"/>
      <x:c r="J3" s="36"/>
      <x:c r="K3" s="29"/>
      <x:c r="L3" s="36"/>
      <x:c r="M3" s="29"/>
      <x:c r="N3" s="36"/>
      <x:c r="O3" s="29"/>
      <x:c r="P3" s="36"/>
      <x:c r="Q3" s="29"/>
      <x:c r="R3" s="36"/>
      <x:c r="S3" s="29"/>
      <x:c r="T3" s="36"/>
      <x:c r="U3" s="29"/>
      <x:c r="V3" s="36"/>
      <x:c r="W3" s="29"/>
      <x:c r="X3" s="36"/>
      <x:c r="Y3" s="29"/>
      <x:c r="Z3" s="36"/>
      <x:c r="AA3" s="31" t="str">
        <x:f>IF(COUNT(C3,E3,G3,I3,K3,M3,O3,Q3,S3,U3,W3,Y3)=0,"",SUM(C3,E3,G3,I3,K3,M3,O3,Q3,S3,U3,W3,Y3))</x:f>
      </x:c>
      <x:c r="AB3" s="39" t="str">
        <x:f>IF(COUNT(D3,F3,H3,J3,L3,N3,P3,R3,T3,V3,X3,Z3)=0,"",SUM(D3,F3,H3,J3,L3,N3,P3,R3,T3,V3,X3,Z3))</x:f>
      </x:c>
    </x:row>
    <x:row r="4" ht="23" customHeight="1">
      <x:c r="A4" s="2"/>
      <x:c r="B4" s="4"/>
      <x:c r="C4" s="4"/>
      <x:c r="D4" s="38"/>
      <x:c r="E4" s="4"/>
      <x:c r="F4" s="38"/>
      <x:c r="G4" s="4"/>
      <x:c r="H4" s="38"/>
      <x:c r="I4" s="4"/>
      <x:c r="J4" s="38"/>
      <x:c r="K4" s="4"/>
      <x:c r="L4" s="38"/>
      <x:c r="M4" s="4"/>
      <x:c r="N4" s="38"/>
      <x:c r="O4" s="4"/>
      <x:c r="P4" s="38"/>
      <x:c r="Q4" s="4"/>
      <x:c r="R4" s="38"/>
      <x:c r="S4" s="4"/>
      <x:c r="T4" s="38"/>
      <x:c r="U4" s="4"/>
      <x:c r="V4" s="38"/>
      <x:c r="W4" s="4"/>
      <x:c r="X4" s="38"/>
      <x:c r="Y4" s="4"/>
      <x:c r="Z4" s="38"/>
      <x:c r="AA4" s="4"/>
      <x:c r="AB4" s="38"/>
    </x:row>
    <x:row r="5" ht="23" customHeight="1">
      <x:c r="A5" s="34" t="str">
        <x:v>Total</x:v>
      </x:c>
      <x:c r="B5" s="45"/>
      <x:c r="C5" s="35" t="str">
        <x:f>IF(ISNUMBER(C3),C3,"")</x:f>
      </x:c>
      <x:c r="D5" s="41" t="str">
        <x:f>IF(ISNUMBER(D3),D3,"")</x:f>
      </x:c>
      <x:c r="E5" s="35" t="str">
        <x:f>IF(ISNUMBER(E3),E3,"")</x:f>
      </x:c>
      <x:c r="F5" s="41" t="str">
        <x:f>IF(ISNUMBER(F3),F3,"")</x:f>
      </x:c>
      <x:c r="G5" s="35" t="str">
        <x:f>IF(ISNUMBER(G3),G3,"")</x:f>
      </x:c>
      <x:c r="H5" s="41" t="str">
        <x:f>IF(ISNUMBER(H3),H3,"")</x:f>
      </x:c>
      <x:c r="I5" s="35" t="str">
        <x:f>IF(ISNUMBER(I3),I3,"")</x:f>
      </x:c>
      <x:c r="J5" s="41" t="str">
        <x:f>IF(ISNUMBER(J3),J3,"")</x:f>
      </x:c>
      <x:c r="K5" s="35" t="str">
        <x:f>IF(ISNUMBER(K3),K3,"")</x:f>
      </x:c>
      <x:c r="L5" s="41" t="str">
        <x:f>IF(ISNUMBER(L3),L3,"")</x:f>
      </x:c>
      <x:c r="M5" s="35" t="str">
        <x:f>IF(ISNUMBER(M3),M3,"")</x:f>
      </x:c>
      <x:c r="N5" s="41" t="str">
        <x:f>IF(ISNUMBER(N3),N3,"")</x:f>
      </x:c>
      <x:c r="O5" s="35" t="str">
        <x:f>IF(ISNUMBER(O3),O3,"")</x:f>
      </x:c>
      <x:c r="P5" s="41" t="str">
        <x:f>IF(ISNUMBER(P3),P3,"")</x:f>
      </x:c>
      <x:c r="Q5" s="35" t="str">
        <x:f>IF(ISNUMBER(Q3),Q3,"")</x:f>
      </x:c>
      <x:c r="R5" s="41" t="str">
        <x:f>IF(ISNUMBER(R3),R3,"")</x:f>
      </x:c>
      <x:c r="S5" s="35" t="str">
        <x:f>IF(ISNUMBER(S3),S3,"")</x:f>
      </x:c>
      <x:c r="T5" s="41" t="str">
        <x:f>IF(ISNUMBER(T3),T3,"")</x:f>
      </x:c>
      <x:c r="U5" s="35" t="str">
        <x:f>IF(ISNUMBER(U3),U3,"")</x:f>
      </x:c>
      <x:c r="V5" s="41" t="str">
        <x:f>IF(ISNUMBER(V3),V3,"")</x:f>
      </x:c>
      <x:c r="W5" s="35" t="str">
        <x:f>IF(ISNUMBER(W3),W3,"")</x:f>
      </x:c>
      <x:c r="X5" s="41" t="str">
        <x:f>IF(ISNUMBER(X3),X3,"")</x:f>
      </x:c>
      <x:c r="Y5" s="35" t="str">
        <x:f>IF(ISNUMBER(Y3),Y3,"")</x:f>
      </x:c>
      <x:c r="Z5" s="41" t="str">
        <x:f>IF(ISNUMBER(Z3),Z3,"")</x:f>
      </x:c>
      <x:c r="AA5" s="35" t="str">
        <x:f>IF(ISNUMBER(AA3),AA3,"")</x:f>
      </x:c>
      <x:c r="AB5" s="41" t="str">
        <x:f>IF(ISNUMBER(AB3),AB3,"")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4" customHeight="1">
      <x:c r="A1" s="22" t="str">
        <x:v>Summary</x:v>
      </x:c>
      <x:c r="B1" s="23" t="str">
        <x:v>Budgeted Hours</x:v>
      </x:c>
      <x:c r="C1" s="23" t="str">
        <x:v>Hours Paid</x:v>
      </x:c>
      <x:c r="D1" s="23" t="str">
        <x:v>Variance</x:v>
      </x:c>
    </x:row>
    <x:row r="2" ht="23" customHeight="1">
      <x:c r="A2" s="24" t="str">
        <x:v>Jan</x:v>
      </x:c>
      <x:c r="B2" s="29"/>
      <x:c r="C2" s="29"/>
      <x:c r="D2" s="31" t="str">
        <x:f>IF(COUNT(C2,B2)=2,C2-B2,"")</x:f>
      </x:c>
    </x:row>
    <x:row r="3" ht="23" customHeight="1">
      <x:c r="A3" s="24" t="str">
        <x:v>Feb</x:v>
      </x:c>
      <x:c r="B3" s="29"/>
      <x:c r="C3" s="29"/>
      <x:c r="D3" s="31" t="str">
        <x:f>IF(COUNT(C3,B3)=2,C3-B3,"")</x:f>
      </x:c>
    </x:row>
    <x:row r="4" ht="23" customHeight="1">
      <x:c r="A4" s="24" t="str">
        <x:v>Mar</x:v>
      </x:c>
      <x:c r="B4" s="29"/>
      <x:c r="C4" s="29"/>
      <x:c r="D4" s="31" t="str">
        <x:f>IF(COUNT(C4,B4)=2,C4-B4,"")</x:f>
      </x:c>
    </x:row>
    <x:row r="5" ht="23" customHeight="1">
      <x:c r="A5" s="24" t="str">
        <x:v>Apr</x:v>
      </x:c>
      <x:c r="B5" s="29"/>
      <x:c r="C5" s="29"/>
      <x:c r="D5" s="31" t="str">
        <x:f>IF(COUNT(C5,B5)=2,C5-B5,"")</x:f>
      </x:c>
    </x:row>
    <x:row r="6" ht="23" customHeight="1">
      <x:c r="A6" s="24" t="str">
        <x:v>May</x:v>
      </x:c>
      <x:c r="B6" s="29"/>
      <x:c r="C6" s="29"/>
      <x:c r="D6" s="31" t="str">
        <x:f>IF(COUNT(C6,B6)=2,C6-B6,"")</x:f>
      </x:c>
    </x:row>
    <x:row r="7" ht="23" customHeight="1">
      <x:c r="A7" s="24" t="str">
        <x:v>Jun</x:v>
      </x:c>
      <x:c r="B7" s="29"/>
      <x:c r="C7" s="29"/>
      <x:c r="D7" s="31" t="str">
        <x:f>IF(COUNT(C7,B7)=2,C7-B7,"")</x:f>
      </x:c>
    </x:row>
    <x:row r="8" ht="23" customHeight="1">
      <x:c r="A8" s="24" t="str">
        <x:v>Jul</x:v>
      </x:c>
      <x:c r="B8" s="29"/>
      <x:c r="C8" s="29"/>
      <x:c r="D8" s="31" t="str">
        <x:f>IF(COUNT(C8,B8)=2,C8-B8,"")</x:f>
      </x:c>
    </x:row>
    <x:row r="9" ht="23" customHeight="1">
      <x:c r="A9" s="24" t="str">
        <x:v>Aug</x:v>
      </x:c>
      <x:c r="B9" s="29"/>
      <x:c r="C9" s="29"/>
      <x:c r="D9" s="31" t="str">
        <x:f>IF(COUNT(C9,B9)=2,C9-B9,"")</x:f>
      </x:c>
    </x:row>
    <x:row r="10" ht="23" customHeight="1">
      <x:c r="A10" s="24" t="str">
        <x:v>Sep</x:v>
      </x:c>
      <x:c r="B10" s="29"/>
      <x:c r="C10" s="29"/>
      <x:c r="D10" s="31" t="str">
        <x:f>IF(COUNT(C10,B10)=2,C10-B10,"")</x:f>
      </x:c>
    </x:row>
    <x:row r="11" ht="23" customHeight="1">
      <x:c r="A11" s="24" t="str">
        <x:v>Oct</x:v>
      </x:c>
      <x:c r="B11" s="29"/>
      <x:c r="C11" s="29"/>
      <x:c r="D11" s="31" t="str">
        <x:f>IF(COUNT(C11,B11)=2,C11-B11,"")</x:f>
      </x:c>
    </x:row>
    <x:row r="12" ht="23" customHeight="1">
      <x:c r="A12" s="24" t="str">
        <x:v>Nov</x:v>
      </x:c>
      <x:c r="B12" s="29"/>
      <x:c r="C12" s="29"/>
      <x:c r="D12" s="31" t="str">
        <x:f>IF(COUNT(C12,B12)=2,C12-B12,"")</x:f>
      </x:c>
    </x:row>
    <x:row r="13" ht="23" customHeight="1">
      <x:c r="A13" s="24" t="str">
        <x:v>Dec</x:v>
      </x:c>
      <x:c r="B13" s="29"/>
      <x:c r="C13" s="29"/>
      <x:c r="D13" s="31" t="str">
        <x:f>IF(COUNT(C13,B13)=2,C13-B13,"")</x:f>
      </x:c>
    </x:row>
    <x:row r="14" ht="23" customHeight="1">
      <x:c r="A14" s="34" t="str">
        <x:v>Total</x:v>
      </x:c>
      <x:c r="B14" s="35" t="str">
        <x:f>IF(COUNT(B2:B13)=0,"",SUM(B2:B13))</x:f>
      </x:c>
      <x:c r="C14" s="35" t="str">
        <x:f>IF(COUNT(C2:C13)=0,"",SUM(C2:C13))</x:f>
      </x:c>
      <x:c r="D14" s="35" t="str">
        <x:f>IF(COUNT(C14,B14)=2,C14-B14,"")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3" customHeight="1">
      <x:c r="A1" s="50" t="str">
        <x:f>'Help Sheet'!$B$5&amp;" Casual Salaries"</x:f>
        <x:v>2026 Casual Salaries</x:v>
      </x:c>
      <x:c r="B1" s="4"/>
      <x:c r="C1" s="4"/>
      <x:c r="D1" s="4"/>
    </x:row>
    <x:row r="2" ht="34" customHeight="1">
      <x:c r="A2" s="22" t="str">
        <x:v>Month</x:v>
      </x:c>
      <x:c r="B2" s="23" t="str">
        <x:v>Budget</x:v>
      </x:c>
      <x:c r="C2" s="23" t="str">
        <x:v>Actual</x:v>
      </x:c>
      <x:c r="D2" s="23" t="str">
        <x:v>Variation</x:v>
      </x:c>
    </x:row>
    <x:row r="3" ht="23" customHeight="1">
      <x:c r="A3" s="24" t="str">
        <x:v>Jan</x:v>
      </x:c>
      <x:c r="B3" s="29"/>
      <x:c r="C3" s="29"/>
      <x:c r="D3" s="31" t="str">
        <x:f>IF(COUNT(C3,B3)=2,C3-B3,"")</x:f>
      </x:c>
    </x:row>
    <x:row r="4" ht="23" customHeight="1">
      <x:c r="A4" s="24" t="str">
        <x:v>Feb</x:v>
      </x:c>
      <x:c r="B4" s="29"/>
      <x:c r="C4" s="29"/>
      <x:c r="D4" s="31" t="str">
        <x:f>IF(COUNT(C4,B4)=2,C4-B4,"")</x:f>
      </x:c>
    </x:row>
    <x:row r="5" ht="23" customHeight="1">
      <x:c r="A5" s="24" t="str">
        <x:v>Mar</x:v>
      </x:c>
      <x:c r="B5" s="29"/>
      <x:c r="C5" s="29"/>
      <x:c r="D5" s="31" t="str">
        <x:f>IF(COUNT(C5,B5)=2,C5-B5,"")</x:f>
      </x:c>
    </x:row>
    <x:row r="6" ht="23" customHeight="1">
      <x:c r="A6" s="24" t="str">
        <x:v>Apr</x:v>
      </x:c>
      <x:c r="B6" s="29"/>
      <x:c r="C6" s="29"/>
      <x:c r="D6" s="31" t="str">
        <x:f>IF(COUNT(C6,B6)=2,C6-B6,"")</x:f>
      </x:c>
    </x:row>
    <x:row r="7" ht="23" customHeight="1">
      <x:c r="A7" s="24" t="str">
        <x:v>May</x:v>
      </x:c>
      <x:c r="B7" s="29"/>
      <x:c r="C7" s="29"/>
      <x:c r="D7" s="31" t="str">
        <x:f>IF(COUNT(C7,B7)=2,C7-B7,"")</x:f>
      </x:c>
    </x:row>
    <x:row r="8" ht="23" customHeight="1">
      <x:c r="A8" s="24" t="str">
        <x:v>Jun</x:v>
      </x:c>
      <x:c r="B8" s="29"/>
      <x:c r="C8" s="29"/>
      <x:c r="D8" s="31" t="str">
        <x:f>IF(COUNT(C8,B8)=2,C8-B8,"")</x:f>
      </x:c>
    </x:row>
    <x:row r="9" ht="23" customHeight="1">
      <x:c r="A9" s="24" t="str">
        <x:v>Jul</x:v>
      </x:c>
      <x:c r="B9" s="29"/>
      <x:c r="C9" s="29"/>
      <x:c r="D9" s="31" t="str">
        <x:f>IF(COUNT(C9,B9)=2,C9-B9,"")</x:f>
      </x:c>
    </x:row>
    <x:row r="10" ht="23" customHeight="1">
      <x:c r="A10" s="24" t="str">
        <x:v>Aug</x:v>
      </x:c>
      <x:c r="B10" s="29"/>
      <x:c r="C10" s="29"/>
      <x:c r="D10" s="31" t="str">
        <x:f>IF(COUNT(C10,B10)=2,C10-B10,"")</x:f>
      </x:c>
    </x:row>
    <x:row r="11" ht="23" customHeight="1">
      <x:c r="A11" s="24" t="str">
        <x:v>Sep</x:v>
      </x:c>
      <x:c r="B11" s="29"/>
      <x:c r="C11" s="29"/>
      <x:c r="D11" s="31" t="str">
        <x:f>IF(COUNT(C11,B11)=2,C11-B11,"")</x:f>
      </x:c>
    </x:row>
    <x:row r="12" ht="23" customHeight="1">
      <x:c r="A12" s="24" t="str">
        <x:v>Oct</x:v>
      </x:c>
      <x:c r="B12" s="29"/>
      <x:c r="C12" s="29"/>
      <x:c r="D12" s="31" t="str">
        <x:f>IF(COUNT(C12,B12)=2,C12-B12,"")</x:f>
      </x:c>
    </x:row>
    <x:row r="13" ht="23" customHeight="1">
      <x:c r="A13" s="24" t="str">
        <x:v>Nov</x:v>
      </x:c>
      <x:c r="B13" s="29"/>
      <x:c r="C13" s="29"/>
      <x:c r="D13" s="31" t="str">
        <x:f>IF(COUNT(C13,B13)=2,C13-B13,"")</x:f>
      </x:c>
    </x:row>
    <x:row r="14" ht="23" customHeight="1">
      <x:c r="A14" s="24" t="str">
        <x:v>Dec</x:v>
      </x:c>
      <x:c r="B14" s="29"/>
      <x:c r="C14" s="29"/>
      <x:c r="D14" s="31" t="str">
        <x:f>IF(COUNT(C14,B14)=2,C14-B14,"")</x:f>
      </x:c>
    </x:row>
    <x:row r="15" ht="23" customHeight="1">
      <x:c r="A15" s="34" t="str">
        <x:v>Total</x:v>
      </x:c>
      <x:c r="B15" s="35" t="str">
        <x:f>IF(COUNT(B3:B14)=0,"",SUM(B3:B14))</x:f>
      </x:c>
      <x:c r="C15" s="35" t="str">
        <x:f>IF(COUNT(C3:C14)=0,"",SUM(C3:C14))</x:f>
      </x:c>
      <x:c r="D15" s="35" t="str">
        <x:f>IF(COUNT(C15,B15)=2,C15-B15,"")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3" customHeight="1">
      <x:c r="A1" s="27" t="str">
        <x:v>Badminton</x:v>
      </x:c>
      <x:c r="B1" s="4"/>
      <x:c r="C1" s="4"/>
      <x:c r="D1" s="4"/>
    </x:row>
    <x:row r="2" ht="34" customHeight="1">
      <x:c r="A2" s="22" t="str">
        <x:v>Month</x:v>
      </x:c>
      <x:c r="B2" s="53" t="n">
        <x:f>'Help Sheet'!$B$5-1</x:f>
        <x:v>2025</x:v>
      </x:c>
      <x:c r="C2" s="53" t="n">
        <x:f>'Help Sheet'!$B$5</x:f>
        <x:v>2026</x:v>
      </x:c>
      <x:c r="D2" s="23" t="str">
        <x:v>Growth Achieved</x:v>
      </x:c>
    </x:row>
    <x:row r="3" ht="23" customHeight="1">
      <x:c r="A3" s="24" t="str">
        <x:v>Jan</x:v>
      </x:c>
      <x:c r="B3" s="29"/>
      <x:c r="C3" s="29"/>
      <x:c r="D3" s="54" t="str">
        <x:f>IF(AND(COUNT(B3:C3)=2,B3&lt;&gt;0),C3/B3-1,"")</x:f>
      </x:c>
    </x:row>
    <x:row r="4" ht="23" customHeight="1">
      <x:c r="A4" s="24" t="str">
        <x:v>Feb</x:v>
      </x:c>
      <x:c r="B4" s="29"/>
      <x:c r="C4" s="29"/>
      <x:c r="D4" s="54" t="str">
        <x:f>IF(AND(COUNT(B4:C4)=2,B4&lt;&gt;0),C4/B4-1,"")</x:f>
      </x:c>
    </x:row>
    <x:row r="5" ht="23" customHeight="1">
      <x:c r="A5" s="24" t="str">
        <x:v>Mar</x:v>
      </x:c>
      <x:c r="B5" s="29"/>
      <x:c r="C5" s="29"/>
      <x:c r="D5" s="54" t="str">
        <x:f>IF(AND(COUNT(B5:C5)=2,B5&lt;&gt;0),C5/B5-1,"")</x:f>
      </x:c>
    </x:row>
    <x:row r="6" ht="23" customHeight="1">
      <x:c r="A6" s="24" t="str">
        <x:v>Apr</x:v>
      </x:c>
      <x:c r="B6" s="29"/>
      <x:c r="C6" s="29"/>
      <x:c r="D6" s="54" t="str">
        <x:f>IF(AND(COUNT(B6:C6)=2,B6&lt;&gt;0),C6/B6-1,"")</x:f>
      </x:c>
    </x:row>
    <x:row r="7" ht="23" customHeight="1">
      <x:c r="A7" s="24" t="str">
        <x:v>May</x:v>
      </x:c>
      <x:c r="B7" s="29"/>
      <x:c r="C7" s="29"/>
      <x:c r="D7" s="54" t="str">
        <x:f>IF(AND(COUNT(B7:C7)=2,B7&lt;&gt;0),C7/B7-1,"")</x:f>
      </x:c>
    </x:row>
    <x:row r="8" ht="23" customHeight="1">
      <x:c r="A8" s="24" t="str">
        <x:v>Jun</x:v>
      </x:c>
      <x:c r="B8" s="29"/>
      <x:c r="C8" s="29"/>
      <x:c r="D8" s="54" t="str">
        <x:f>IF(AND(COUNT(B8:C8)=2,B8&lt;&gt;0),C8/B8-1,"")</x:f>
      </x:c>
    </x:row>
    <x:row r="9" ht="23" customHeight="1">
      <x:c r="A9" s="24" t="str">
        <x:v>Jul</x:v>
      </x:c>
      <x:c r="B9" s="29"/>
      <x:c r="C9" s="29"/>
      <x:c r="D9" s="54" t="str">
        <x:f>IF(AND(COUNT(B9:C9)=2,B9&lt;&gt;0),C9/B9-1,"")</x:f>
      </x:c>
    </x:row>
    <x:row r="10" ht="23" customHeight="1">
      <x:c r="A10" s="24" t="str">
        <x:v>Aug</x:v>
      </x:c>
      <x:c r="B10" s="29"/>
      <x:c r="C10" s="29"/>
      <x:c r="D10" s="54" t="str">
        <x:f>IF(AND(COUNT(B10:C10)=2,B10&lt;&gt;0),C10/B10-1,"")</x:f>
      </x:c>
    </x:row>
    <x:row r="11" ht="23" customHeight="1">
      <x:c r="A11" s="24" t="str">
        <x:v>Sep</x:v>
      </x:c>
      <x:c r="B11" s="29"/>
      <x:c r="C11" s="29"/>
      <x:c r="D11" s="54" t="str">
        <x:f>IF(AND(COUNT(B11:C11)=2,B11&lt;&gt;0),C11/B11-1,"")</x:f>
      </x:c>
    </x:row>
    <x:row r="12" ht="23" customHeight="1">
      <x:c r="A12" s="24" t="str">
        <x:v>Oct</x:v>
      </x:c>
      <x:c r="B12" s="29"/>
      <x:c r="C12" s="29"/>
      <x:c r="D12" s="54" t="str">
        <x:f>IF(AND(COUNT(B12:C12)=2,B12&lt;&gt;0),C12/B12-1,"")</x:f>
      </x:c>
    </x:row>
    <x:row r="13" ht="23" customHeight="1">
      <x:c r="A13" s="24" t="str">
        <x:v>Nov</x:v>
      </x:c>
      <x:c r="B13" s="29"/>
      <x:c r="C13" s="29"/>
      <x:c r="D13" s="54" t="str">
        <x:f>IF(AND(COUNT(B13:C13)=2,B13&lt;&gt;0),C13/B13-1,"")</x:f>
      </x:c>
    </x:row>
    <x:row r="14" ht="23" customHeight="1">
      <x:c r="A14" s="24" t="str">
        <x:v>Dec</x:v>
      </x:c>
      <x:c r="B14" s="29"/>
      <x:c r="C14" s="29"/>
      <x:c r="D14" s="54" t="str">
        <x:f>IF(AND(COUNT(B14:C14)=2,B14&lt;&gt;0),C14/B14-1,"")</x:f>
      </x:c>
    </x:row>
    <x:row r="15" ht="23" customHeight="1">
      <x:c r="A15" s="34" t="str">
        <x:v>Total</x:v>
      </x:c>
      <x:c r="B15" s="35" t="str">
        <x:f>IF(COUNT(B3:B14)=0,"",SUM(B3:B14))</x:f>
      </x:c>
      <x:c r="C15" s="35" t="str">
        <x:f>IF(COUNT(C3:C14)=0,"",SUM(C3:C14))</x:f>
      </x:c>
      <x:c r="D15" s="55" t="str">
        <x:f>IF(AND(COUNT(B15:C15)=2,B15&lt;&gt;0),C15/B15-1,"")</x:f>
      </x:c>
    </x:row>
    <x:row r="16" ht="23" customHeight="1">
      <x:c r="A16" s="2"/>
      <x:c r="B16" s="4"/>
      <x:c r="C16" s="4"/>
      <x:c r="D16" s="4"/>
    </x:row>
    <x:row r="17" ht="23" customHeight="1">
      <x:c r="A17" s="24" t="str">
        <x:v>Total Court Hire</x:v>
      </x:c>
      <x:c r="B17" s="4"/>
      <x:c r="C17" s="4"/>
      <x:c r="D17" s="4"/>
    </x:row>
    <x:row r="18" ht="34" customHeight="1">
      <x:c r="A18" s="22" t="str">
        <x:v>Month</x:v>
      </x:c>
      <x:c r="B18" s="53" t="n">
        <x:f>'Help Sheet'!$B$5-1</x:f>
        <x:v>2025</x:v>
      </x:c>
      <x:c r="C18" s="53" t="n">
        <x:f>'Help Sheet'!$B$5</x:f>
        <x:v>2026</x:v>
      </x:c>
      <x:c r="D18" s="23" t="str">
        <x:v>Growth Achieved</x:v>
      </x:c>
    </x:row>
    <x:row r="19" ht="23" customHeight="1">
      <x:c r="A19" s="24" t="str">
        <x:v>Jan</x:v>
      </x:c>
      <x:c r="B19" s="31" t="str">
        <x:f>IF(ISNUMBER(B3),B3,"")</x:f>
      </x:c>
      <x:c r="C19" s="31" t="str">
        <x:f>IF(ISNUMBER(C3),C3,"")</x:f>
      </x:c>
      <x:c r="D19" s="54" t="str">
        <x:f>IF(AND(COUNT(B19:C19)=2,B19&lt;&gt;0),C19/B19-1,"")</x:f>
      </x:c>
    </x:row>
    <x:row r="20" ht="23" customHeight="1">
      <x:c r="A20" s="24" t="str">
        <x:v>Feb</x:v>
      </x:c>
      <x:c r="B20" s="31" t="str">
        <x:f>IF(ISNUMBER(B4),B4,"")</x:f>
      </x:c>
      <x:c r="C20" s="31" t="str">
        <x:f>IF(ISNUMBER(C4),C4,"")</x:f>
      </x:c>
      <x:c r="D20" s="54" t="str">
        <x:f>IF(AND(COUNT(B20:C20)=2,B20&lt;&gt;0),C20/B20-1,"")</x:f>
      </x:c>
    </x:row>
    <x:row r="21" ht="23" customHeight="1">
      <x:c r="A21" s="24" t="str">
        <x:v>Mar</x:v>
      </x:c>
      <x:c r="B21" s="31" t="str">
        <x:f>IF(ISNUMBER(B5),B5,"")</x:f>
      </x:c>
      <x:c r="C21" s="31" t="str">
        <x:f>IF(ISNUMBER(C5),C5,"")</x:f>
      </x:c>
      <x:c r="D21" s="54" t="str">
        <x:f>IF(AND(COUNT(B21:C21)=2,B21&lt;&gt;0),C21/B21-1,"")</x:f>
      </x:c>
    </x:row>
    <x:row r="22" ht="23" customHeight="1">
      <x:c r="A22" s="24" t="str">
        <x:v>Apr</x:v>
      </x:c>
      <x:c r="B22" s="31" t="str">
        <x:f>IF(ISNUMBER(B6),B6,"")</x:f>
      </x:c>
      <x:c r="C22" s="31" t="str">
        <x:f>IF(ISNUMBER(C6),C6,"")</x:f>
      </x:c>
      <x:c r="D22" s="54" t="str">
        <x:f>IF(AND(COUNT(B22:C22)=2,B22&lt;&gt;0),C22/B22-1,"")</x:f>
      </x:c>
    </x:row>
    <x:row r="23" ht="23" customHeight="1">
      <x:c r="A23" s="24" t="str">
        <x:v>May</x:v>
      </x:c>
      <x:c r="B23" s="31" t="str">
        <x:f>IF(ISNUMBER(B7),B7,"")</x:f>
      </x:c>
      <x:c r="C23" s="31" t="str">
        <x:f>IF(ISNUMBER(C7),C7,"")</x:f>
      </x:c>
      <x:c r="D23" s="54" t="str">
        <x:f>IF(AND(COUNT(B23:C23)=2,B23&lt;&gt;0),C23/B23-1,"")</x:f>
      </x:c>
    </x:row>
    <x:row r="24" ht="23" customHeight="1">
      <x:c r="A24" s="24" t="str">
        <x:v>Jun</x:v>
      </x:c>
      <x:c r="B24" s="31" t="str">
        <x:f>IF(ISNUMBER(B8),B8,"")</x:f>
      </x:c>
      <x:c r="C24" s="31" t="str">
        <x:f>IF(ISNUMBER(C8),C8,"")</x:f>
      </x:c>
      <x:c r="D24" s="54" t="str">
        <x:f>IF(AND(COUNT(B24:C24)=2,B24&lt;&gt;0),C24/B24-1,"")</x:f>
      </x:c>
    </x:row>
    <x:row r="25" ht="23" customHeight="1">
      <x:c r="A25" s="24" t="str">
        <x:v>Jul</x:v>
      </x:c>
      <x:c r="B25" s="31" t="str">
        <x:f>IF(ISNUMBER(B9),B9,"")</x:f>
      </x:c>
      <x:c r="C25" s="31" t="str">
        <x:f>IF(ISNUMBER(C9),C9,"")</x:f>
      </x:c>
      <x:c r="D25" s="54" t="str">
        <x:f>IF(AND(COUNT(B25:C25)=2,B25&lt;&gt;0),C25/B25-1,"")</x:f>
      </x:c>
    </x:row>
    <x:row r="26" ht="23" customHeight="1">
      <x:c r="A26" s="24" t="str">
        <x:v>Aug</x:v>
      </x:c>
      <x:c r="B26" s="31" t="str">
        <x:f>IF(ISNUMBER(B10),B10,"")</x:f>
      </x:c>
      <x:c r="C26" s="31" t="str">
        <x:f>IF(ISNUMBER(C10),C10,"")</x:f>
      </x:c>
      <x:c r="D26" s="54" t="str">
        <x:f>IF(AND(COUNT(B26:C26)=2,B26&lt;&gt;0),C26/B26-1,"")</x:f>
      </x:c>
    </x:row>
    <x:row r="27" ht="23" customHeight="1">
      <x:c r="A27" s="24" t="str">
        <x:v>Sep</x:v>
      </x:c>
      <x:c r="B27" s="31" t="str">
        <x:f>IF(ISNUMBER(B11),B11,"")</x:f>
      </x:c>
      <x:c r="C27" s="31" t="str">
        <x:f>IF(ISNUMBER(C11),C11,"")</x:f>
      </x:c>
      <x:c r="D27" s="54" t="str">
        <x:f>IF(AND(COUNT(B27:C27)=2,B27&lt;&gt;0),C27/B27-1,"")</x:f>
      </x:c>
    </x:row>
    <x:row r="28" ht="23" customHeight="1">
      <x:c r="A28" s="24" t="str">
        <x:v>Oct</x:v>
      </x:c>
      <x:c r="B28" s="31" t="str">
        <x:f>IF(ISNUMBER(B12),B12,"")</x:f>
      </x:c>
      <x:c r="C28" s="31" t="str">
        <x:f>IF(ISNUMBER(C12),C12,"")</x:f>
      </x:c>
      <x:c r="D28" s="54" t="str">
        <x:f>IF(AND(COUNT(B28:C28)=2,B28&lt;&gt;0),C28/B28-1,"")</x:f>
      </x:c>
    </x:row>
    <x:row r="29" ht="23" customHeight="1">
      <x:c r="A29" s="24" t="str">
        <x:v>Nov</x:v>
      </x:c>
      <x:c r="B29" s="31" t="str">
        <x:f>IF(ISNUMBER(B13),B13,"")</x:f>
      </x:c>
      <x:c r="C29" s="31" t="str">
        <x:f>IF(ISNUMBER(C13),C13,"")</x:f>
      </x:c>
      <x:c r="D29" s="54" t="str">
        <x:f>IF(AND(COUNT(B29:C29)=2,B29&lt;&gt;0),C29/B29-1,"")</x:f>
      </x:c>
    </x:row>
    <x:row r="30" ht="23" customHeight="1">
      <x:c r="A30" s="24" t="str">
        <x:v>Dec</x:v>
      </x:c>
      <x:c r="B30" s="31" t="str">
        <x:f>IF(ISNUMBER(B14),B14,"")</x:f>
      </x:c>
      <x:c r="C30" s="31" t="str">
        <x:f>IF(ISNUMBER(C14),C14,"")</x:f>
      </x:c>
      <x:c r="D30" s="54" t="str">
        <x:f>IF(AND(COUNT(B30:C30)=2,B30&lt;&gt;0),C30/B30-1,"")</x:f>
      </x:c>
    </x:row>
    <x:row r="31" ht="23" customHeight="1">
      <x:c r="A31" s="34" t="str">
        <x:v>Total</x:v>
      </x:c>
      <x:c r="B31" s="35" t="str">
        <x:f>IF(COUNT(B19:B30)=0,"",SUM(B19:B30))</x:f>
      </x:c>
      <x:c r="C31" s="35" t="str">
        <x:f>IF(COUNT(C19:C30)=0,"",SUM(C19:C30))</x:f>
      </x:c>
      <x:c r="D31" s="55" t="str">
        <x:f>IF(AND(COUNT(B31:C31)=2,B31&lt;&gt;0),C31/B31-1,"")</x:f>
      </x:c>
    </x:row>
  </x:sheetData>
  <x:pageMargins left="0.7" right="0.7" top="0.75" bottom="0.75" header="0.3" footer="0.3"/>
</x:worksheet>
</file>